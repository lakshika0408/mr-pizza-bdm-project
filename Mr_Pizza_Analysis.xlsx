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Sales Data" sheetId="2" r:id="rId5"/>
    <sheet state="hidden" name="Purchase Data" sheetId="3" r:id="rId6"/>
    <sheet state="visible" name="Summary analysis" sheetId="4" r:id="rId7"/>
    <sheet state="visible" name="Charts" sheetId="5" r:id="rId8"/>
  </sheets>
  <definedNames/>
  <calcPr/>
  <extLst>
    <ext uri="GoogleSheetsCustomDataVersion2">
      <go:sheetsCustomData xmlns:go="http://customooxmlschemas.google.com/" r:id="rId9" roundtripDataChecksum="zmFwGsLe0JZLR6HzdioRmNCEACerzH5dwuCX2FkVKuM="/>
    </ext>
  </extLst>
</workbook>
</file>

<file path=xl/sharedStrings.xml><?xml version="1.0" encoding="utf-8"?>
<sst xmlns="http://schemas.openxmlformats.org/spreadsheetml/2006/main" count="2437" uniqueCount="193">
  <si>
    <t>Item Name</t>
  </si>
  <si>
    <t>Category</t>
  </si>
  <si>
    <t>S</t>
  </si>
  <si>
    <t>M</t>
  </si>
  <si>
    <t>L</t>
  </si>
  <si>
    <t>-</t>
  </si>
  <si>
    <t>Baby Cheese Pizza</t>
  </si>
  <si>
    <t>Pizza</t>
  </si>
  <si>
    <t>Onion Cheese Pizza</t>
  </si>
  <si>
    <t>Tomato Cheese Pizza</t>
  </si>
  <si>
    <t>Capsicum Cheese Pizza</t>
  </si>
  <si>
    <t>Cheese N Corn Pizza</t>
  </si>
  <si>
    <t>Onion Tomato Pizza</t>
  </si>
  <si>
    <t>Onion Capsicum Pizza</t>
  </si>
  <si>
    <t>Sweet Corn Onion Pizza</t>
  </si>
  <si>
    <t>Mix Veg Margharita Pizza</t>
  </si>
  <si>
    <t>Paneer Pizza</t>
  </si>
  <si>
    <t>Spicy Mix Veg Pizza</t>
  </si>
  <si>
    <t>Tandoori Pizza</t>
  </si>
  <si>
    <t>Onion Paneer Pizza</t>
  </si>
  <si>
    <t>Peppy Paneer Pizza</t>
  </si>
  <si>
    <t>Sweet Corn Paneer Pizza</t>
  </si>
  <si>
    <t>Paneer Pizza With Olives</t>
  </si>
  <si>
    <t>Overloaded Cheese Pizza</t>
  </si>
  <si>
    <t>MrPizza Special Pizza</t>
  </si>
  <si>
    <t>Chicken Pizza</t>
  </si>
  <si>
    <t>Kulhad Pizza</t>
  </si>
  <si>
    <t>Veg Burger</t>
  </si>
  <si>
    <t>Burger</t>
  </si>
  <si>
    <t>Veg Cheese Burger</t>
  </si>
  <si>
    <t>Mr.Pizza's Special Burger</t>
  </si>
  <si>
    <t>Non Veg Burger</t>
  </si>
  <si>
    <t>Veg Hot Dog</t>
  </si>
  <si>
    <t>Hot Dog</t>
  </si>
  <si>
    <t>Non-Veg Hot Dog</t>
  </si>
  <si>
    <t>Cheese Corn Garlic Bread</t>
  </si>
  <si>
    <t>Bread</t>
  </si>
  <si>
    <t>Stuffed Garlic Bread</t>
  </si>
  <si>
    <t>Oreo Shake</t>
  </si>
  <si>
    <t>Shake</t>
  </si>
  <si>
    <t>Vanilla Shake</t>
  </si>
  <si>
    <t>Chocolate Shake</t>
  </si>
  <si>
    <t>Butterscotch Shake</t>
  </si>
  <si>
    <t>Strawberry Shake</t>
  </si>
  <si>
    <t>Ice Tea</t>
  </si>
  <si>
    <t>Mojito</t>
  </si>
  <si>
    <t>Cold Coffee</t>
  </si>
  <si>
    <t>Kesar Pista Ice Cream</t>
  </si>
  <si>
    <t>Dessert</t>
  </si>
  <si>
    <t>Black currant Ice Cream</t>
  </si>
  <si>
    <t>Vanilla Ice Cream</t>
  </si>
  <si>
    <t>Chocolate Ice Cream</t>
  </si>
  <si>
    <t>Butterscotch Ice Cream</t>
  </si>
  <si>
    <t>Strawberry Ice Cream</t>
  </si>
  <si>
    <t>Brownie</t>
  </si>
  <si>
    <t>Brownie with Ice Cream</t>
  </si>
  <si>
    <t>Choco Lava Cake</t>
  </si>
  <si>
    <t>Spicy Mix Veg+Garlic Bread+Cheese Corn+Cold Drink</t>
  </si>
  <si>
    <t>Combo</t>
  </si>
  <si>
    <t>Onion+Capsicum+Cheese Corn+Cold Drink</t>
  </si>
  <si>
    <t>Peppy Paneer Pizza+Kulhad Pizza+Veg Hot Dog+Vanilla Shake</t>
  </si>
  <si>
    <t>Party</t>
  </si>
  <si>
    <t>Special Pizza+Cheese N Corn Pizza+Stuffed Garlic Bread+Veg Burger+Oreo Shake</t>
  </si>
  <si>
    <t>Cold Drink</t>
  </si>
  <si>
    <t>Beverage</t>
  </si>
  <si>
    <t>Water</t>
  </si>
  <si>
    <t>Bun</t>
  </si>
  <si>
    <t>Extra Cheese</t>
  </si>
  <si>
    <t>Add-on</t>
  </si>
  <si>
    <t>Extra Patty</t>
  </si>
  <si>
    <t>Mr. Pizza — Sales Data Entry</t>
  </si>
  <si>
    <t>Date
(DD-MM-YYYY)</t>
  </si>
  <si>
    <t>Day
(Auto)</t>
  </si>
  <si>
    <t>Category
(Auto)</t>
  </si>
  <si>
    <t>Size</t>
  </si>
  <si>
    <t>Qty</t>
  </si>
  <si>
    <t>Unit Price
(₹ Auto)</t>
  </si>
  <si>
    <t>Total Price
(₹)</t>
  </si>
  <si>
    <t>Daily Total
(₹ notebook)</t>
  </si>
  <si>
    <t>Notes</t>
  </si>
  <si>
    <t>Catering event</t>
  </si>
  <si>
    <t>Mr. Pizza — Purchase / Ingredient Bills</t>
  </si>
  <si>
    <t>Date</t>
  </si>
  <si>
    <t>Ingredient</t>
  </si>
  <si>
    <t>Quantity</t>
  </si>
  <si>
    <t>Unit (kg/ltr)</t>
  </si>
  <si>
    <t>Unit Price (₹)</t>
  </si>
  <si>
    <t>Total Cost (₹)</t>
  </si>
  <si>
    <t>TABLE 1: Monthly Revenue Summary</t>
  </si>
  <si>
    <t>Month</t>
  </si>
  <si>
    <t>Revenue (₹)</t>
  </si>
  <si>
    <t>Units Sold</t>
  </si>
  <si>
    <t>Trading Days</t>
  </si>
  <si>
    <t>Transactions</t>
  </si>
  <si>
    <t>MoM Change (%)</t>
  </si>
  <si>
    <t>% of Total Revenue</t>
  </si>
  <si>
    <t>Sep 2023</t>
  </si>
  <si>
    <t>Oct 2023</t>
  </si>
  <si>
    <t>Nov 2023</t>
  </si>
  <si>
    <t>Dec 2023</t>
  </si>
  <si>
    <t>Jan 2024</t>
  </si>
  <si>
    <t>TOTAL</t>
  </si>
  <si>
    <t>TABLE 2: Revenue by Product Category</t>
  </si>
  <si>
    <t>Qty Sold</t>
  </si>
  <si>
    <t>% of Total</t>
  </si>
  <si>
    <t>TABLE 3: Item-wise Revenue, Pareto &amp; ABC Classification</t>
  </si>
  <si>
    <t>Rank</t>
  </si>
  <si>
    <t>Avg Unit Price (₹)</t>
  </si>
  <si>
    <t>Cumulative %</t>
  </si>
  <si>
    <t>ABC Class</t>
  </si>
  <si>
    <t>Pareto Segment</t>
  </si>
  <si>
    <t>Top 20%</t>
  </si>
  <si>
    <t>Bottom 80%</t>
  </si>
  <si>
    <t>TABLE 4: Revenue by Day of Week</t>
  </si>
  <si>
    <t>Day</t>
  </si>
  <si>
    <t>% of Weekly Total</t>
  </si>
  <si>
    <t>Total Units Sold</t>
  </si>
  <si>
    <t>Monday</t>
  </si>
  <si>
    <t>Tuesday</t>
  </si>
  <si>
    <t>Wednesday</t>
  </si>
  <si>
    <t>Thursday</t>
  </si>
  <si>
    <t>Friday</t>
  </si>
  <si>
    <t>Saturday</t>
  </si>
  <si>
    <t>Sunday</t>
  </si>
  <si>
    <t>100.0%</t>
  </si>
  <si>
    <t>TABLE 5: Descriptive Statistics — Daily Revenue</t>
  </si>
  <si>
    <t>Statistic</t>
  </si>
  <si>
    <t xml:space="preserve">Value </t>
  </si>
  <si>
    <t>Total Revenue (₹)(5 months)</t>
  </si>
  <si>
    <t>Total Transactions (₹)(line items)</t>
  </si>
  <si>
    <t>Total Units Sold (Units)</t>
  </si>
  <si>
    <t>Total Trading Days (Days)</t>
  </si>
  <si>
    <t>Mean Daily Revenue (₹)</t>
  </si>
  <si>
    <t>Median Daily Revenue (₹)</t>
  </si>
  <si>
    <t>(from notebook daily totals)</t>
  </si>
  <si>
    <t>Std Dev of Daily Revenue (₹)</t>
  </si>
  <si>
    <t>Min Daily Revenue (₹)</t>
  </si>
  <si>
    <t>Max Daily Revenue (₹)</t>
  </si>
  <si>
    <t>Unique Products (Count)</t>
  </si>
  <si>
    <t>TABLE 6: Weekly Revenue and 4-Week Moving Average (MA4) Forecast</t>
  </si>
  <si>
    <t>Week #</t>
  </si>
  <si>
    <t>Week Starting</t>
  </si>
  <si>
    <t>Actual Revenue (₹)</t>
  </si>
  <si>
    <t>MA4 Revenue (₹)</t>
  </si>
  <si>
    <t>Deviation from MA4 (₹)</t>
  </si>
  <si>
    <t>Deviation (%)</t>
  </si>
  <si>
    <t>Type</t>
  </si>
  <si>
    <t>28 Aug 2023</t>
  </si>
  <si>
    <t>Actual</t>
  </si>
  <si>
    <t>04 Sep 2023</t>
  </si>
  <si>
    <t>11 Sep 2023</t>
  </si>
  <si>
    <t>18 Sep 2023</t>
  </si>
  <si>
    <t>25 Sep 2023</t>
  </si>
  <si>
    <t>02 Oct 2023</t>
  </si>
  <si>
    <t>09 Oct 2023</t>
  </si>
  <si>
    <t>16 Oct 2023</t>
  </si>
  <si>
    <t>23 Oct 2023</t>
  </si>
  <si>
    <t>30 Oct 2023</t>
  </si>
  <si>
    <t>06 Nov 2023</t>
  </si>
  <si>
    <t>13 Nov 2023</t>
  </si>
  <si>
    <t>20 Nov 2023</t>
  </si>
  <si>
    <t>27 Nov 2023</t>
  </si>
  <si>
    <t>04 Dec 2023</t>
  </si>
  <si>
    <t>11 Dec 2023</t>
  </si>
  <si>
    <t>18 Dec 2023</t>
  </si>
  <si>
    <t>25 Dec 2023</t>
  </si>
  <si>
    <t>01 Jan 2024</t>
  </si>
  <si>
    <t>08 Jan 2024</t>
  </si>
  <si>
    <t>15 Jan 2024</t>
  </si>
  <si>
    <t>22 Jan 2024</t>
  </si>
  <si>
    <t>29 Jan 2024</t>
  </si>
  <si>
    <t>05 Feb 2024</t>
  </si>
  <si>
    <t xml:space="preserve"> Forecast</t>
  </si>
  <si>
    <t>12 Feb 2024</t>
  </si>
  <si>
    <t>₹4,844</t>
  </si>
  <si>
    <t>19 Feb 2024</t>
  </si>
  <si>
    <t>₹4,711</t>
  </si>
  <si>
    <t>26 Feb 2024</t>
  </si>
  <si>
    <t>₹4,669</t>
  </si>
  <si>
    <t>TABLE 7:  Pizza Size Revenue Mix</t>
  </si>
  <si>
    <t>% of Size Revenue</t>
  </si>
  <si>
    <t>Total</t>
  </si>
  <si>
    <t>Mr. Pizza — Analysis Charts</t>
  </si>
  <si>
    <t>ABC Summary</t>
  </si>
  <si>
    <t>All charts generated from Summary Analysis sheet data. Data period: Sep 2023 – Jan 2024</t>
  </si>
  <si>
    <t>Class</t>
  </si>
  <si>
    <t>Items</t>
  </si>
  <si>
    <t>A</t>
  </si>
  <si>
    <t>B</t>
  </si>
  <si>
    <t>C</t>
  </si>
  <si>
    <t>Top 10 by Qty</t>
  </si>
  <si>
    <t>Item</t>
  </si>
  <si>
    <t>Mix Veg Margharita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</si>
</sst>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-mm\-yyyy"/>
    <numFmt numFmtId="165" formatCode="\₹#,##0"/>
    <numFmt numFmtId="166" formatCode="0.0\%"/>
    <numFmt numFmtId="167" formatCode="0.00\%"/>
    <numFmt numFmtId="168" formatCode="\₹#,##0;&quot;(₹&quot;#,##0\)"/>
    <numFmt numFmtId="169" formatCode="&quot;$&quot;#,##0.0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13.0"/>
      <color rgb="FFFFFFFF"/>
      <name val="Arial"/>
    </font>
    <font/>
    <font>
      <b/>
      <sz val="13.0"/>
      <color rgb="FF1B5E20"/>
      <name val="Arial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</font>
    <font>
      <b/>
      <color rgb="FFC0392B"/>
      <name val="Arial"/>
    </font>
    <font>
      <b/>
      <color rgb="FF1E8449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Arial"/>
    </font>
    <font>
      <b/>
      <color rgb="FF000000"/>
      <name val="Arial"/>
    </font>
    <font>
      <b/>
      <color rgb="FFFFFFFF"/>
      <name val="Arial"/>
    </font>
    <font>
      <b/>
      <color rgb="FF2C3E50"/>
      <name val="Arial"/>
    </font>
    <font>
      <sz val="11.0"/>
      <color theme="1"/>
      <name val="Arial"/>
    </font>
    <font>
      <b/>
      <sz val="12.0"/>
      <color rgb="FFFFFFFF"/>
      <name val="Arial"/>
    </font>
    <font>
      <color rgb="FF2C3E50"/>
      <name val="Arial"/>
    </font>
    <font>
      <b/>
      <color rgb="FF154360"/>
      <name val="Arial"/>
    </font>
    <font>
      <b/>
      <sz val="12.0"/>
      <color rgb="FF1B5E20"/>
      <name val="Arial"/>
    </font>
    <font>
      <b/>
      <sz val="14.0"/>
      <color rgb="FF1B5E20"/>
      <name val="Arial"/>
    </font>
    <font>
      <sz val="10.0"/>
      <color rgb="FF555555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theme="0"/>
        <bgColor theme="0"/>
      </patternFill>
    </fill>
    <fill>
      <patternFill patternType="solid">
        <fgColor rgb="FF1E8449"/>
        <bgColor rgb="FF1E8449"/>
      </patternFill>
    </fill>
    <fill>
      <patternFill patternType="solid">
        <fgColor rgb="FF154360"/>
        <bgColor rgb="FF154360"/>
      </patternFill>
    </fill>
    <fill>
      <patternFill patternType="solid">
        <fgColor rgb="FFBDC3C7"/>
        <bgColor rgb="FFBDC3C7"/>
      </patternFill>
    </fill>
    <fill>
      <patternFill patternType="solid">
        <fgColor rgb="FFF1C232"/>
        <bgColor rgb="FFF1C232"/>
      </patternFill>
    </fill>
    <fill>
      <patternFill patternType="solid">
        <fgColor rgb="FFFEF9E7"/>
        <bgColor rgb="FFFEF9E7"/>
      </patternFill>
    </fill>
    <fill>
      <patternFill patternType="solid">
        <fgColor rgb="FFE74C3C"/>
        <bgColor rgb="FFE74C3C"/>
      </patternFill>
    </fill>
    <fill>
      <patternFill patternType="solid">
        <fgColor rgb="FFEAF4FB"/>
        <bgColor rgb="FFEAF4F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4" numFmtId="164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shrinkToFit="0" vertical="bottom" wrapText="0"/>
    </xf>
    <xf borderId="1" fillId="5" fontId="4" numFmtId="164" xfId="0" applyAlignment="1" applyBorder="1" applyFill="1" applyFont="1" applyNumberForma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4" numFmtId="164" xfId="0" applyAlignment="1" applyBorder="1" applyFont="1" applyNumberFormat="1">
      <alignment horizontal="center" shrinkToFit="0" vertical="bottom" wrapText="1"/>
    </xf>
    <xf borderId="1" fillId="5" fontId="4" numFmtId="0" xfId="0" applyAlignment="1" applyBorder="1" applyFont="1">
      <alignment horizontal="center" shrinkToFit="0" vertical="bottom" wrapText="1"/>
    </xf>
    <xf borderId="1" fillId="4" fontId="4" numFmtId="164" xfId="0" applyAlignment="1" applyBorder="1" applyFont="1" applyNumberForma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readingOrder="0" shrinkToFit="0" vertical="bottom" wrapText="0"/>
    </xf>
    <xf borderId="1" fillId="5" fontId="4" numFmtId="164" xfId="0" applyAlignment="1" applyBorder="1" applyFont="1" applyNumberFormat="1">
      <alignment horizontal="center" readingOrder="0" shrinkToFit="0" vertical="bottom" wrapText="1"/>
    </xf>
    <xf borderId="1" fillId="5" fontId="4" numFmtId="0" xfId="0" applyAlignment="1" applyBorder="1" applyFont="1">
      <alignment horizontal="center" readingOrder="0" shrinkToFit="0" vertical="bottom" wrapText="1"/>
    </xf>
    <xf borderId="2" fillId="2" fontId="5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0"/>
    </xf>
    <xf borderId="5" fillId="7" fontId="4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1"/>
    </xf>
    <xf borderId="6" fillId="2" fontId="8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 shrinkToFit="0" vertical="center" wrapText="0"/>
    </xf>
    <xf borderId="6" fillId="8" fontId="9" numFmtId="0" xfId="0" applyAlignment="1" applyBorder="1" applyFill="1" applyFont="1">
      <alignment horizontal="left" shrinkToFit="0" vertical="center" wrapText="1"/>
    </xf>
    <xf borderId="6" fillId="8" fontId="9" numFmtId="165" xfId="0" applyAlignment="1" applyBorder="1" applyFont="1" applyNumberFormat="1">
      <alignment horizontal="center" shrinkToFit="0" vertical="center" wrapText="1"/>
    </xf>
    <xf borderId="6" fillId="8" fontId="9" numFmtId="0" xfId="0" applyAlignment="1" applyBorder="1" applyFont="1">
      <alignment horizontal="center" shrinkToFit="0" vertical="center" wrapText="1"/>
    </xf>
    <xf borderId="6" fillId="8" fontId="10" numFmtId="3" xfId="0" applyAlignment="1" applyBorder="1" applyFont="1" applyNumberFormat="1">
      <alignment horizontal="center"/>
    </xf>
    <xf borderId="6" fillId="8" fontId="1" numFmtId="166" xfId="0" applyBorder="1" applyFont="1" applyNumberFormat="1"/>
    <xf borderId="0" fillId="8" fontId="1" numFmtId="10" xfId="0" applyAlignment="1" applyFont="1" applyNumberFormat="1">
      <alignment shrinkToFit="0" vertical="bottom" wrapText="0"/>
    </xf>
    <xf borderId="6" fillId="7" fontId="9" numFmtId="0" xfId="0" applyAlignment="1" applyBorder="1" applyFont="1">
      <alignment horizontal="left" shrinkToFit="0" vertical="center" wrapText="1"/>
    </xf>
    <xf borderId="6" fillId="7" fontId="9" numFmtId="165" xfId="0" applyAlignment="1" applyBorder="1" applyFont="1" applyNumberFormat="1">
      <alignment horizontal="center" shrinkToFit="0" vertical="center" wrapText="1"/>
    </xf>
    <xf borderId="6" fillId="7" fontId="9" numFmtId="0" xfId="0" applyAlignment="1" applyBorder="1" applyFont="1">
      <alignment horizontal="center" shrinkToFit="0" vertical="center" wrapText="1"/>
    </xf>
    <xf borderId="6" fillId="7" fontId="9" numFmtId="0" xfId="0" applyAlignment="1" applyBorder="1" applyFont="1">
      <alignment horizontal="center" readingOrder="0" shrinkToFit="0" vertical="center" wrapText="1"/>
    </xf>
    <xf borderId="6" fillId="7" fontId="10" numFmtId="3" xfId="0" applyAlignment="1" applyBorder="1" applyFont="1" applyNumberFormat="1">
      <alignment horizontal="center"/>
    </xf>
    <xf borderId="6" fillId="7" fontId="11" numFmtId="166" xfId="0" applyAlignment="1" applyBorder="1" applyFont="1" applyNumberFormat="1">
      <alignment horizontal="center"/>
    </xf>
    <xf borderId="0" fillId="0" fontId="1" numFmtId="10" xfId="0" applyAlignment="1" applyFont="1" applyNumberFormat="1">
      <alignment shrinkToFit="0" vertical="bottom" wrapText="0"/>
    </xf>
    <xf borderId="6" fillId="8" fontId="9" numFmtId="0" xfId="0" applyAlignment="1" applyBorder="1" applyFont="1">
      <alignment horizontal="center" readingOrder="0" shrinkToFit="0" vertical="center" wrapText="1"/>
    </xf>
    <xf borderId="6" fillId="8" fontId="11" numFmtId="166" xfId="0" applyAlignment="1" applyBorder="1" applyFont="1" applyNumberFormat="1">
      <alignment horizontal="center"/>
    </xf>
    <xf borderId="6" fillId="8" fontId="12" numFmtId="166" xfId="0" applyAlignment="1" applyBorder="1" applyFont="1" applyNumberFormat="1">
      <alignment horizontal="center"/>
    </xf>
    <xf borderId="6" fillId="9" fontId="13" numFmtId="0" xfId="0" applyAlignment="1" applyBorder="1" applyFill="1" applyFont="1">
      <alignment horizontal="center" shrinkToFit="0" vertical="center" wrapText="1"/>
    </xf>
    <xf borderId="6" fillId="9" fontId="13" numFmtId="165" xfId="0" applyAlignment="1" applyBorder="1" applyFont="1" applyNumberFormat="1">
      <alignment horizontal="center" shrinkToFit="0" vertical="center" wrapText="1"/>
    </xf>
    <xf borderId="6" fillId="9" fontId="14" numFmtId="3" xfId="0" applyAlignment="1" applyBorder="1" applyFont="1" applyNumberFormat="1">
      <alignment horizontal="center"/>
    </xf>
    <xf borderId="6" fillId="9" fontId="1" numFmtId="3" xfId="0" applyBorder="1" applyFont="1" applyNumberFormat="1"/>
    <xf borderId="0" fillId="9" fontId="15" numFmtId="10" xfId="0" applyAlignment="1" applyFont="1" applyNumberFormat="1">
      <alignment shrinkToFit="0" vertical="bottom" wrapText="0"/>
    </xf>
    <xf borderId="0" fillId="0" fontId="16" numFmtId="0" xfId="0" applyAlignment="1" applyFont="1">
      <alignment shrinkToFit="0" wrapText="1"/>
    </xf>
    <xf borderId="6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 shrinkToFit="0" wrapText="1"/>
    </xf>
    <xf borderId="6" fillId="8" fontId="17" numFmtId="0" xfId="0" applyBorder="1" applyFont="1"/>
    <xf borderId="6" fillId="8" fontId="10" numFmtId="165" xfId="0" applyAlignment="1" applyBorder="1" applyFont="1" applyNumberFormat="1">
      <alignment horizontal="center" shrinkToFit="0" wrapText="1"/>
    </xf>
    <xf borderId="6" fillId="8" fontId="10" numFmtId="166" xfId="0" applyAlignment="1" applyBorder="1" applyFont="1" applyNumberFormat="1">
      <alignment horizontal="center"/>
    </xf>
    <xf borderId="6" fillId="10" fontId="17" numFmtId="0" xfId="0" applyBorder="1" applyFill="1" applyFont="1"/>
    <xf borderId="6" fillId="10" fontId="10" numFmtId="165" xfId="0" applyAlignment="1" applyBorder="1" applyFont="1" applyNumberFormat="1">
      <alignment horizontal="center" shrinkToFit="0" wrapText="1"/>
    </xf>
    <xf borderId="6" fillId="10" fontId="10" numFmtId="3" xfId="0" applyAlignment="1" applyBorder="1" applyFont="1" applyNumberFormat="1">
      <alignment horizontal="center"/>
    </xf>
    <xf borderId="6" fillId="10" fontId="10" numFmtId="166" xfId="0" applyAlignment="1" applyBorder="1" applyFont="1" applyNumberFormat="1">
      <alignment horizontal="center"/>
    </xf>
    <xf borderId="6" fillId="9" fontId="13" numFmtId="3" xfId="0" applyAlignment="1" applyBorder="1" applyFont="1" applyNumberFormat="1">
      <alignment horizontal="center" shrinkToFit="0" vertical="center" wrapText="1"/>
    </xf>
    <xf borderId="6" fillId="9" fontId="13" numFmtId="166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6" fillId="7" fontId="10" numFmtId="0" xfId="0" applyAlignment="1" applyBorder="1" applyFont="1">
      <alignment horizontal="center"/>
    </xf>
    <xf borderId="6" fillId="7" fontId="10" numFmtId="0" xfId="0" applyAlignment="1" applyBorder="1" applyFont="1">
      <alignment shrinkToFit="0" wrapText="1"/>
    </xf>
    <xf borderId="6" fillId="7" fontId="10" numFmtId="0" xfId="0" applyBorder="1" applyFont="1"/>
    <xf borderId="6" fillId="7" fontId="10" numFmtId="165" xfId="0" applyBorder="1" applyFont="1" applyNumberFormat="1"/>
    <xf borderId="6" fillId="7" fontId="10" numFmtId="3" xfId="0" applyAlignment="1" applyBorder="1" applyFont="1" applyNumberFormat="1">
      <alignment horizontal="center"/>
    </xf>
    <xf borderId="6" fillId="7" fontId="10" numFmtId="165" xfId="0" applyAlignment="1" applyBorder="1" applyFont="1" applyNumberFormat="1">
      <alignment horizontal="center" readingOrder="0"/>
    </xf>
    <xf borderId="6" fillId="7" fontId="10" numFmtId="167" xfId="0" applyAlignment="1" applyBorder="1" applyFont="1" applyNumberFormat="1">
      <alignment horizontal="center"/>
    </xf>
    <xf borderId="6" fillId="7" fontId="10" numFmtId="166" xfId="0" applyAlignment="1" applyBorder="1" applyFont="1" applyNumberFormat="1">
      <alignment horizontal="center"/>
    </xf>
    <xf borderId="6" fillId="11" fontId="18" numFmtId="0" xfId="0" applyAlignment="1" applyBorder="1" applyFill="1" applyFont="1">
      <alignment horizontal="center"/>
    </xf>
    <xf borderId="6" fillId="12" fontId="19" numFmtId="0" xfId="0" applyAlignment="1" applyBorder="1" applyFill="1" applyFont="1">
      <alignment horizontal="center"/>
    </xf>
    <xf borderId="6" fillId="8" fontId="10" numFmtId="0" xfId="0" applyAlignment="1" applyBorder="1" applyFont="1">
      <alignment horizontal="center"/>
    </xf>
    <xf borderId="6" fillId="8" fontId="10" numFmtId="0" xfId="0" applyAlignment="1" applyBorder="1" applyFont="1">
      <alignment shrinkToFit="0" wrapText="1"/>
    </xf>
    <xf borderId="6" fillId="8" fontId="10" numFmtId="0" xfId="0" applyBorder="1" applyFont="1"/>
    <xf borderId="6" fillId="8" fontId="10" numFmtId="165" xfId="0" applyBorder="1" applyFont="1" applyNumberFormat="1"/>
    <xf borderId="6" fillId="8" fontId="10" numFmtId="3" xfId="0" applyAlignment="1" applyBorder="1" applyFont="1" applyNumberFormat="1">
      <alignment horizontal="center"/>
    </xf>
    <xf borderId="6" fillId="8" fontId="10" numFmtId="165" xfId="0" applyAlignment="1" applyBorder="1" applyFont="1" applyNumberFormat="1">
      <alignment horizontal="center"/>
    </xf>
    <xf borderId="6" fillId="8" fontId="10" numFmtId="167" xfId="0" applyAlignment="1" applyBorder="1" applyFont="1" applyNumberFormat="1">
      <alignment horizontal="center"/>
    </xf>
    <xf borderId="6" fillId="8" fontId="10" numFmtId="166" xfId="0" applyAlignment="1" applyBorder="1" applyFont="1" applyNumberFormat="1">
      <alignment horizontal="center"/>
    </xf>
    <xf borderId="6" fillId="7" fontId="10" numFmtId="165" xfId="0" applyAlignment="1" applyBorder="1" applyFont="1" applyNumberFormat="1">
      <alignment horizontal="center"/>
    </xf>
    <xf borderId="6" fillId="8" fontId="10" numFmtId="165" xfId="0" applyAlignment="1" applyBorder="1" applyFont="1" applyNumberFormat="1">
      <alignment horizontal="center" readingOrder="0"/>
    </xf>
    <xf borderId="6" fillId="13" fontId="20" numFmtId="0" xfId="0" applyAlignment="1" applyBorder="1" applyFill="1" applyFont="1">
      <alignment horizontal="center"/>
    </xf>
    <xf borderId="6" fillId="14" fontId="18" numFmtId="0" xfId="0" applyAlignment="1" applyBorder="1" applyFill="1" applyFont="1">
      <alignment horizontal="center"/>
    </xf>
    <xf borderId="6" fillId="15" fontId="10" numFmtId="0" xfId="0" applyAlignment="1" applyBorder="1" applyFill="1" applyFont="1">
      <alignment horizontal="center"/>
    </xf>
    <xf borderId="6" fillId="15" fontId="10" numFmtId="0" xfId="0" applyAlignment="1" applyBorder="1" applyFont="1">
      <alignment shrinkToFit="0" wrapText="1"/>
    </xf>
    <xf borderId="6" fillId="15" fontId="10" numFmtId="0" xfId="0" applyBorder="1" applyFont="1"/>
    <xf borderId="6" fillId="15" fontId="10" numFmtId="165" xfId="0" applyBorder="1" applyFont="1" applyNumberFormat="1"/>
    <xf borderId="6" fillId="15" fontId="10" numFmtId="3" xfId="0" applyAlignment="1" applyBorder="1" applyFont="1" applyNumberFormat="1">
      <alignment horizontal="center"/>
    </xf>
    <xf borderId="6" fillId="15" fontId="10" numFmtId="165" xfId="0" applyAlignment="1" applyBorder="1" applyFont="1" applyNumberFormat="1">
      <alignment horizontal="center"/>
    </xf>
    <xf borderId="6" fillId="8" fontId="9" numFmtId="166" xfId="0" applyAlignment="1" applyBorder="1" applyFont="1" applyNumberFormat="1">
      <alignment horizontal="center" shrinkToFit="0" vertical="center" wrapText="1"/>
    </xf>
    <xf borderId="6" fillId="7" fontId="9" numFmtId="166" xfId="0" applyAlignment="1" applyBorder="1" applyFont="1" applyNumberFormat="1">
      <alignment horizontal="center" shrinkToFit="0" vertical="center" wrapText="1"/>
    </xf>
    <xf borderId="6" fillId="2" fontId="8" numFmtId="0" xfId="0" applyAlignment="1" applyBorder="1" applyFont="1">
      <alignment horizontal="center" readingOrder="0" shrinkToFit="0" vertical="center" wrapText="1"/>
    </xf>
    <xf borderId="6" fillId="8" fontId="21" numFmtId="0" xfId="0" applyAlignment="1" applyBorder="1" applyFont="1">
      <alignment shrinkToFit="0" vertical="bottom" wrapText="1"/>
    </xf>
    <xf borderId="6" fillId="8" fontId="9" numFmtId="4" xfId="0" applyAlignment="1" applyBorder="1" applyFont="1" applyNumberFormat="1">
      <alignment horizontal="center" shrinkToFit="0" vertical="center" wrapText="1"/>
    </xf>
    <xf borderId="6" fillId="7" fontId="21" numFmtId="0" xfId="0" applyAlignment="1" applyBorder="1" applyFont="1">
      <alignment shrinkToFit="0" vertical="bottom" wrapText="1"/>
    </xf>
    <xf borderId="6" fillId="7" fontId="9" numFmtId="4" xfId="0" applyAlignment="1" applyBorder="1" applyFont="1" applyNumberFormat="1">
      <alignment horizontal="center" shrinkToFit="0" vertical="center" wrapText="1"/>
    </xf>
    <xf borderId="6" fillId="8" fontId="9" numFmtId="4" xfId="0" applyAlignment="1" applyBorder="1" applyFont="1" applyNumberFormat="1">
      <alignment horizontal="center" readingOrder="0" shrinkToFit="0" vertical="center" wrapText="1"/>
    </xf>
    <xf borderId="0" fillId="0" fontId="16" numFmtId="0" xfId="0" applyFont="1"/>
    <xf borderId="6" fillId="7" fontId="9" numFmtId="4" xfId="0" applyAlignment="1" applyBorder="1" applyFont="1" applyNumberFormat="1">
      <alignment horizontal="center" readingOrder="0" shrinkToFit="0" vertical="center" wrapText="1"/>
    </xf>
    <xf borderId="3" fillId="7" fontId="22" numFmtId="0" xfId="0" applyBorder="1" applyFont="1"/>
    <xf borderId="4" fillId="7" fontId="22" numFmtId="0" xfId="0" applyBorder="1" applyFont="1"/>
    <xf borderId="7" fillId="16" fontId="8" numFmtId="0" xfId="0" applyAlignment="1" applyBorder="1" applyFill="1" applyFont="1">
      <alignment horizontal="center" shrinkToFit="0" wrapText="1"/>
    </xf>
    <xf borderId="6" fillId="7" fontId="1" numFmtId="165" xfId="0" applyBorder="1" applyFont="1" applyNumberFormat="1"/>
    <xf borderId="6" fillId="7" fontId="1" numFmtId="168" xfId="0" applyBorder="1" applyFont="1" applyNumberFormat="1"/>
    <xf borderId="6" fillId="7" fontId="1" numFmtId="166" xfId="0" applyBorder="1" applyFont="1" applyNumberFormat="1"/>
    <xf borderId="6" fillId="7" fontId="23" numFmtId="0" xfId="0" applyAlignment="1" applyBorder="1" applyFont="1">
      <alignment horizontal="center"/>
    </xf>
    <xf borderId="6" fillId="15" fontId="1" numFmtId="165" xfId="0" applyBorder="1" applyFont="1" applyNumberFormat="1"/>
    <xf borderId="6" fillId="15" fontId="1" numFmtId="168" xfId="0" applyBorder="1" applyFont="1" applyNumberFormat="1"/>
    <xf borderId="6" fillId="15" fontId="1" numFmtId="166" xfId="0" applyBorder="1" applyFont="1" applyNumberFormat="1"/>
    <xf borderId="6" fillId="15" fontId="23" numFmtId="0" xfId="0" applyAlignment="1" applyBorder="1" applyFont="1">
      <alignment horizontal="center"/>
    </xf>
    <xf borderId="6" fillId="15" fontId="11" numFmtId="168" xfId="0" applyBorder="1" applyFont="1" applyNumberFormat="1"/>
    <xf borderId="6" fillId="15" fontId="10" numFmtId="166" xfId="0" applyAlignment="1" applyBorder="1" applyFont="1" applyNumberFormat="1">
      <alignment horizontal="center"/>
    </xf>
    <xf borderId="6" fillId="7" fontId="12" numFmtId="168" xfId="0" applyBorder="1" applyFont="1" applyNumberFormat="1"/>
    <xf borderId="6" fillId="15" fontId="12" numFmtId="168" xfId="0" applyBorder="1" applyFont="1" applyNumberFormat="1"/>
    <xf borderId="6" fillId="7" fontId="11" numFmtId="168" xfId="0" applyBorder="1" applyFont="1" applyNumberFormat="1"/>
    <xf borderId="6" fillId="17" fontId="10" numFmtId="0" xfId="0" applyAlignment="1" applyBorder="1" applyFill="1" applyFont="1">
      <alignment horizontal="center"/>
    </xf>
    <xf borderId="6" fillId="17" fontId="10" numFmtId="0" xfId="0" applyAlignment="1" applyBorder="1" applyFont="1">
      <alignment shrinkToFit="0" wrapText="1"/>
    </xf>
    <xf borderId="6" fillId="17" fontId="1" numFmtId="165" xfId="0" applyBorder="1" applyFont="1" applyNumberFormat="1"/>
    <xf borderId="6" fillId="17" fontId="10" numFmtId="165" xfId="0" applyBorder="1" applyFont="1" applyNumberFormat="1"/>
    <xf borderId="6" fillId="17" fontId="1" numFmtId="168" xfId="0" applyBorder="1" applyFont="1" applyNumberFormat="1"/>
    <xf borderId="6" fillId="17" fontId="1" numFmtId="166" xfId="0" applyBorder="1" applyFont="1" applyNumberFormat="1"/>
    <xf borderId="6" fillId="17" fontId="24" numFmtId="0" xfId="0" applyAlignment="1" applyBorder="1" applyFont="1">
      <alignment horizontal="center" readingOrder="0"/>
    </xf>
    <xf borderId="6" fillId="17" fontId="10" numFmtId="165" xfId="0" applyAlignment="1" applyBorder="1" applyFont="1" applyNumberFormat="1">
      <alignment horizontal="right" readingOrder="0"/>
    </xf>
    <xf borderId="0" fillId="0" fontId="10" numFmtId="165" xfId="0" applyAlignment="1" applyFont="1" applyNumberFormat="1">
      <alignment horizontal="right" readingOrder="0"/>
    </xf>
    <xf borderId="6" fillId="17" fontId="21" numFmtId="165" xfId="0" applyAlignment="1" applyBorder="1" applyFont="1" applyNumberFormat="1">
      <alignment horizontal="right" readingOrder="0"/>
    </xf>
    <xf borderId="2" fillId="7" fontId="25" numFmtId="0" xfId="0" applyAlignment="1" applyBorder="1" applyFont="1">
      <alignment readingOrder="0"/>
    </xf>
    <xf borderId="7" fillId="16" fontId="8" numFmtId="0" xfId="0" applyAlignment="1" applyBorder="1" applyFont="1">
      <alignment horizontal="center"/>
    </xf>
    <xf borderId="6" fillId="15" fontId="17" numFmtId="0" xfId="0" applyAlignment="1" applyBorder="1" applyFont="1">
      <alignment horizontal="center"/>
    </xf>
    <xf borderId="6" fillId="15" fontId="10" numFmtId="165" xfId="0" applyAlignment="1" applyBorder="1" applyFont="1" applyNumberFormat="1">
      <alignment horizontal="center" shrinkToFit="0" wrapText="1"/>
    </xf>
    <xf borderId="6" fillId="7" fontId="17" numFmtId="0" xfId="0" applyAlignment="1" applyBorder="1" applyFont="1">
      <alignment horizontal="center"/>
    </xf>
    <xf borderId="6" fillId="7" fontId="10" numFmtId="165" xfId="0" applyAlignment="1" applyBorder="1" applyFont="1" applyNumberFormat="1">
      <alignment horizontal="center" shrinkToFit="0" wrapText="1"/>
    </xf>
    <xf borderId="0" fillId="9" fontId="17" numFmtId="0" xfId="0" applyAlignment="1" applyFont="1">
      <alignment horizontal="center" readingOrder="0"/>
    </xf>
    <xf borderId="0" fillId="9" fontId="17" numFmtId="165" xfId="0" applyAlignment="1" applyFont="1" applyNumberFormat="1">
      <alignment horizontal="center" shrinkToFit="0" wrapText="1"/>
    </xf>
    <xf borderId="0" fillId="9" fontId="17" numFmtId="3" xfId="0" applyAlignment="1" applyFont="1" applyNumberFormat="1">
      <alignment horizontal="center"/>
    </xf>
    <xf borderId="0" fillId="9" fontId="17" numFmtId="166" xfId="0" applyAlignment="1" applyFont="1" applyNumberFormat="1">
      <alignment horizontal="center"/>
    </xf>
    <xf borderId="0" fillId="0" fontId="26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6" numFmtId="16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  <dxf>
      <font/>
      <fill>
        <patternFill patternType="solid">
          <fgColor rgb="FF1B5E20"/>
          <bgColor rgb="FF1B5E20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</dxfs>
  <tableStyles count="4">
    <tableStyle count="2" pivot="0" name="Summary analysis-style">
      <tableStyleElement dxfId="1" type="firstRowStripe"/>
      <tableStyleElement dxfId="2" type="secondRowStripe"/>
    </tableStyle>
    <tableStyle count="2" pivot="0" name="Summary analysis-style 2">
      <tableStyleElement dxfId="1" type="firstRowStripe"/>
      <tableStyleElement dxfId="2" type="secondRowStripe"/>
    </tableStyle>
    <tableStyle count="3" pivot="0" name="Summary analysis-style 3">
      <tableStyleElement dxfId="3" type="headerRow"/>
      <tableStyleElement dxfId="1" type="firstRowStripe"/>
      <tableStyleElement dxfId="2" type="secondRowStripe"/>
    </tableStyle>
    <tableStyle count="3" pivot="0" name="Summary analysis-style 4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(₹)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B5E2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analysis'!$A$13:$A$20</c:f>
            </c:strRef>
          </c:cat>
          <c:val>
            <c:numRef>
              <c:f>'Summary analysis'!$B$13:$B$20</c:f>
              <c:numCache/>
            </c:numRef>
          </c:val>
        </c:ser>
        <c:axId val="2058571350"/>
        <c:axId val="1909612168"/>
      </c:barChart>
      <c:catAx>
        <c:axId val="20585713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9612168"/>
      </c:catAx>
      <c:valAx>
        <c:axId val="19096121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8571350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Revenue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 (₹)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analysis'!$A$77:$A$83</c:f>
            </c:strRef>
          </c:cat>
          <c:val>
            <c:numRef>
              <c:f>'Summary analysis'!$B$77:$B$83</c:f>
              <c:numCache/>
            </c:numRef>
          </c:val>
        </c:ser>
        <c:axId val="851655709"/>
        <c:axId val="1251007981"/>
      </c:barChart>
      <c:catAx>
        <c:axId val="851655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1007981"/>
      </c:catAx>
      <c:valAx>
        <c:axId val="1251007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Total Revenue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1655709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Revenue (₹)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Charts!$V$1</c:f>
            </c:strRef>
          </c:tx>
          <c:dPt>
            <c:idx val="0"/>
            <c:spPr>
              <a:solidFill>
                <a:srgbClr val="4F81B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Charts!$T$2:$T$5</c:f>
            </c:strRef>
          </c:cat>
          <c:val>
            <c:numRef>
              <c:f>Charts!$V$2:$V$5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Items by Quantity Sold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Qty</c:v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cat>
            <c:strRef>
              <c:f>Charts!$T$10:$T$19</c:f>
            </c:strRef>
          </c:cat>
          <c:val>
            <c:numRef>
              <c:f>Charts!$U$10:$U$19</c:f>
              <c:numCache/>
            </c:numRef>
          </c:val>
        </c:ser>
        <c:axId val="1180073801"/>
        <c:axId val="472106242"/>
      </c:barChart>
      <c:catAx>
        <c:axId val="11800738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2106242"/>
      </c:catAx>
      <c:valAx>
        <c:axId val="4721062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80073801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Top 15 items by Revenue (Pareto)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'Summary analysis'!$D$24:$D$25</c:f>
            </c:strRef>
          </c:tx>
          <c:spPr>
            <a:solidFill>
              <a:srgbClr val="1B5E20"/>
            </a:solidFill>
            <a:ln cmpd="sng">
              <a:solidFill>
                <a:srgbClr val="000000"/>
              </a:solidFill>
            </a:ln>
          </c:spPr>
          <c:cat>
            <c:strRef>
              <c:f>'Summary analysis'!$B$26:$B$40</c:f>
            </c:strRef>
          </c:cat>
          <c:val>
            <c:numRef>
              <c:f>'Summary analysis'!$D$26:$D$40</c:f>
              <c:numCache/>
            </c:numRef>
          </c:val>
        </c:ser>
        <c:axId val="155483313"/>
        <c:axId val="1621082473"/>
      </c:barChart>
      <c:catAx>
        <c:axId val="155483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082473"/>
      </c:catAx>
      <c:valAx>
        <c:axId val="1621082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83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Weekly Revenue vs MA4 Forecast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'Summary analysis'!$C$101:$C$102</c:f>
            </c:strRef>
          </c:tx>
          <c:spPr>
            <a:ln cmpd="sng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strRef>
              <c:f>'Summary analysis'!$B$103:$B$129</c:f>
            </c:strRef>
          </c:cat>
          <c:val>
            <c:numRef>
              <c:f>'Summary analysis'!$C$103:$C$129</c:f>
              <c:numCache/>
            </c:numRef>
          </c:val>
          <c:smooth val="0"/>
        </c:ser>
        <c:ser>
          <c:idx val="1"/>
          <c:order val="1"/>
          <c:tx>
            <c:strRef>
              <c:f>'Summary analysis'!$D$101:$D$102</c:f>
            </c:strRef>
          </c:tx>
          <c:spPr>
            <a:ln cmpd="sng">
              <a:solidFill>
                <a:srgbClr val="C0504D"/>
              </a:solidFill>
              <a:prstDash val="dash"/>
            </a:ln>
          </c:spPr>
          <c:marker>
            <c:symbol val="none"/>
          </c:marker>
          <c:cat>
            <c:strRef>
              <c:f>'Summary analysis'!$B$103:$B$129</c:f>
            </c:strRef>
          </c:cat>
          <c:val>
            <c:numRef>
              <c:f>'Summary analysis'!$D$103:$D$129</c:f>
              <c:numCache/>
            </c:numRef>
          </c:val>
          <c:smooth val="0"/>
        </c:ser>
        <c:axId val="159230411"/>
        <c:axId val="1969660082"/>
      </c:lineChart>
      <c:catAx>
        <c:axId val="159230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660082"/>
      </c:catAx>
      <c:valAx>
        <c:axId val="1969660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30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Weekly Revenue (₹) and MA4 Revenue (₹)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'Summary analysis'!$C$101:$C$102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'Summary analysis'!$B$103:$B$125</c:f>
            </c:strRef>
          </c:cat>
          <c:val>
            <c:numRef>
              <c:f>'Summary analysis'!$C$103:$C$125</c:f>
              <c:numCache/>
            </c:numRef>
          </c:val>
        </c:ser>
        <c:overlap val="100"/>
        <c:axId val="208357747"/>
        <c:axId val="1150240973"/>
      </c:barChart>
      <c:lineChart>
        <c:varyColors val="0"/>
        <c:ser>
          <c:idx val="1"/>
          <c:order val="1"/>
          <c:tx>
            <c:strRef>
              <c:f>'Summary analysis'!$D$101:$D$102</c:f>
            </c:strRef>
          </c:tx>
          <c:spPr>
            <a:ln cmpd="sng">
              <a:solidFill>
                <a:srgbClr val="FFFFFF">
                  <a:alpha val="0"/>
                </a:srgbClr>
              </a:solidFill>
            </a:ln>
          </c:spPr>
          <c:marker>
            <c:symbol val="none"/>
          </c:marker>
          <c:trendline>
            <c:name>Trendline for MA4 Revenue (₹)</c:name>
            <c:spPr>
              <a:ln w="19050">
                <a:solidFill>
                  <a:srgbClr val="FF0000">
                    <a:alpha val="70196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'Summary analysis'!$B$103:$B$125</c:f>
            </c:strRef>
          </c:cat>
          <c:val>
            <c:numRef>
              <c:f>'Summary analysis'!$D$103:$D$125</c:f>
              <c:numCache/>
            </c:numRef>
          </c:val>
          <c:smooth val="0"/>
        </c:ser>
        <c:axId val="208357747"/>
        <c:axId val="1150240973"/>
      </c:lineChart>
      <c:catAx>
        <c:axId val="208357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 Starting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240973"/>
      </c:catAx>
      <c:valAx>
        <c:axId val="1150240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57747"/>
      </c:valAx>
    </c:plotArea>
    <c:legend>
      <c:legendPos val="r"/>
      <c:legendEntry>
        <c:idx val="1"/>
        <c:txPr>
          <a:bodyPr/>
          <a:lstStyle/>
          <a:p>
            <a:pPr lvl="0">
              <a:defRPr>
                <a:solidFill>
                  <a:srgbClr val="FFFFFF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76200</xdr:rowOff>
    </xdr:from>
    <xdr:ext cx="6172200" cy="4400550"/>
    <xdr:pic>
      <xdr:nvPicPr>
        <xdr:cNvPr id="184966997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66675</xdr:rowOff>
    </xdr:from>
    <xdr:ext cx="7134225" cy="4543425"/>
    <xdr:graphicFrame>
      <xdr:nvGraphicFramePr>
        <xdr:cNvPr id="205701131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142875</xdr:rowOff>
    </xdr:from>
    <xdr:ext cx="6172200" cy="4400550"/>
    <xdr:graphicFrame>
      <xdr:nvGraphicFramePr>
        <xdr:cNvPr id="168950946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266700</xdr:colOff>
      <xdr:row>25</xdr:row>
      <xdr:rowOff>57150</xdr:rowOff>
    </xdr:from>
    <xdr:ext cx="4791075" cy="3781425"/>
    <xdr:graphicFrame>
      <xdr:nvGraphicFramePr>
        <xdr:cNvPr id="659398407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457200</xdr:colOff>
      <xdr:row>46</xdr:row>
      <xdr:rowOff>180975</xdr:rowOff>
    </xdr:from>
    <xdr:ext cx="5476875" cy="4543425"/>
    <xdr:graphicFrame>
      <xdr:nvGraphicFramePr>
        <xdr:cNvPr id="63943376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47625</xdr:colOff>
      <xdr:row>77</xdr:row>
      <xdr:rowOff>123825</xdr:rowOff>
    </xdr:from>
    <xdr:ext cx="6457950" cy="3533775"/>
    <xdr:graphicFrame>
      <xdr:nvGraphicFramePr>
        <xdr:cNvPr id="526822195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38100</xdr:colOff>
      <xdr:row>77</xdr:row>
      <xdr:rowOff>123825</xdr:rowOff>
    </xdr:from>
    <xdr:ext cx="5715000" cy="3533775"/>
    <xdr:graphicFrame>
      <xdr:nvGraphicFramePr>
        <xdr:cNvPr id="1831132702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361950</xdr:colOff>
      <xdr:row>96</xdr:row>
      <xdr:rowOff>95250</xdr:rowOff>
    </xdr:from>
    <xdr:ext cx="5715000" cy="3533775"/>
    <xdr:graphicFrame>
      <xdr:nvGraphicFramePr>
        <xdr:cNvPr id="506793541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26:H7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ummary analysis-style" showColumnStripes="0" showFirstColumn="1" showLastColumn="1" showRowStripes="1"/>
</table>
</file>

<file path=xl/tables/table2.xml><?xml version="1.0" encoding="utf-8"?>
<table xmlns="http://schemas.openxmlformats.org/spreadsheetml/2006/main" headerRowCount="0" ref="I26:I72" displayName="Table_2" name="Table_2" id="2">
  <tableColumns count="1">
    <tableColumn name="Column1" id="1"/>
  </tableColumns>
  <tableStyleInfo name="Summary analysis-style 2" showColumnStripes="0" showFirstColumn="1" showLastColumn="1" showRowStripes="1"/>
</table>
</file>

<file path=xl/tables/table3.xml><?xml version="1.0" encoding="utf-8"?>
<table xmlns="http://schemas.openxmlformats.org/spreadsheetml/2006/main" ref="A102:G129" displayName="Table_3" name="Table_3" id="3">
  <tableColumns count="7">
    <tableColumn name="Week #" id="1"/>
    <tableColumn name="Week Starting" id="2"/>
    <tableColumn name="Actual Revenue (₹)" id="3"/>
    <tableColumn name="MA4 Revenue (₹)" id="4"/>
    <tableColumn name="Deviation from MA4 (₹)" id="5"/>
    <tableColumn name="Deviation (%)" id="6"/>
    <tableColumn name="Type" id="7"/>
  </tableColumns>
  <tableStyleInfo name="Summary analysis-style 3" showColumnStripes="0" showFirstColumn="1" showLastColumn="1" showRowStripes="1"/>
</table>
</file>

<file path=xl/tables/table4.xml><?xml version="1.0" encoding="utf-8"?>
<table xmlns="http://schemas.openxmlformats.org/spreadsheetml/2006/main" ref="A133:D137" displayName="Table_4" name="Table_4" id="4">
  <tableColumns count="4">
    <tableColumn name="Size" id="1"/>
    <tableColumn name="Revenue (₹)" id="2"/>
    <tableColumn name="Qty Sold" id="3"/>
    <tableColumn name="% of Size Revenue" id="4"/>
  </tableColumns>
  <tableStyleInfo name="Summary analysi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3.71"/>
    <col customWidth="1" min="2" max="6" width="8.71"/>
  </cols>
  <sheetData>
    <row r="1" ht="15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" t="s">
        <v>6</v>
      </c>
      <c r="B2" s="2" t="s">
        <v>7</v>
      </c>
      <c r="C2" s="4">
        <v>49.0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" t="s">
        <v>8</v>
      </c>
      <c r="B3" s="2" t="s">
        <v>7</v>
      </c>
      <c r="C3" s="4">
        <v>59.0</v>
      </c>
      <c r="D3" s="4">
        <v>109.0</v>
      </c>
      <c r="E3" s="4">
        <v>199.0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" t="s">
        <v>9</v>
      </c>
      <c r="B4" s="2" t="s">
        <v>7</v>
      </c>
      <c r="C4" s="4">
        <v>59.0</v>
      </c>
      <c r="D4" s="4">
        <v>109.0</v>
      </c>
      <c r="E4" s="4">
        <v>199.0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" t="s">
        <v>10</v>
      </c>
      <c r="B5" s="2" t="s">
        <v>7</v>
      </c>
      <c r="C5" s="4">
        <v>59.0</v>
      </c>
      <c r="D5" s="4">
        <v>109.0</v>
      </c>
      <c r="E5" s="4">
        <v>199.0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" t="s">
        <v>11</v>
      </c>
      <c r="B6" s="2" t="s">
        <v>7</v>
      </c>
      <c r="C6" s="4">
        <v>69.0</v>
      </c>
      <c r="D6" s="4">
        <v>109.0</v>
      </c>
      <c r="E6" s="4">
        <v>209.0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" t="s">
        <v>12</v>
      </c>
      <c r="B7" s="2" t="s">
        <v>7</v>
      </c>
      <c r="C7" s="4">
        <v>79.0</v>
      </c>
      <c r="D7" s="4">
        <v>129.0</v>
      </c>
      <c r="E7" s="4">
        <v>209.0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" t="s">
        <v>13</v>
      </c>
      <c r="B8" s="2" t="s">
        <v>7</v>
      </c>
      <c r="C8" s="4">
        <v>79.0</v>
      </c>
      <c r="D8" s="4">
        <v>129.0</v>
      </c>
      <c r="E8" s="4">
        <v>209.0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" t="s">
        <v>14</v>
      </c>
      <c r="B9" s="2" t="s">
        <v>7</v>
      </c>
      <c r="C9" s="4">
        <v>79.0</v>
      </c>
      <c r="D9" s="4">
        <v>129.0</v>
      </c>
      <c r="E9" s="4">
        <v>209.0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" t="s">
        <v>15</v>
      </c>
      <c r="B10" s="2" t="s">
        <v>7</v>
      </c>
      <c r="C10" s="4">
        <v>99.0</v>
      </c>
      <c r="D10" s="4">
        <v>149.0</v>
      </c>
      <c r="E10" s="4">
        <v>249.0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" t="s">
        <v>16</v>
      </c>
      <c r="B11" s="2" t="s">
        <v>7</v>
      </c>
      <c r="C11" s="4">
        <v>109.0</v>
      </c>
      <c r="D11" s="4">
        <v>199.0</v>
      </c>
      <c r="E11" s="4">
        <v>289.0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" t="s">
        <v>17</v>
      </c>
      <c r="B12" s="2" t="s">
        <v>7</v>
      </c>
      <c r="C12" s="4">
        <v>109.0</v>
      </c>
      <c r="D12" s="4">
        <v>199.0</v>
      </c>
      <c r="E12" s="4">
        <v>299.0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" t="s">
        <v>18</v>
      </c>
      <c r="B13" s="2" t="s">
        <v>7</v>
      </c>
      <c r="C13" s="4">
        <v>109.0</v>
      </c>
      <c r="D13" s="4">
        <v>199.0</v>
      </c>
      <c r="E13" s="4">
        <v>299.0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" t="s">
        <v>19</v>
      </c>
      <c r="B14" s="2" t="s">
        <v>7</v>
      </c>
      <c r="C14" s="4">
        <v>109.0</v>
      </c>
      <c r="D14" s="4">
        <v>189.0</v>
      </c>
      <c r="E14" s="4">
        <v>289.0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" t="s">
        <v>20</v>
      </c>
      <c r="B15" s="2" t="s">
        <v>7</v>
      </c>
      <c r="C15" s="4">
        <v>119.0</v>
      </c>
      <c r="D15" s="4">
        <v>199.0</v>
      </c>
      <c r="E15" s="4">
        <v>299.0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" t="s">
        <v>21</v>
      </c>
      <c r="B16" s="2" t="s">
        <v>7</v>
      </c>
      <c r="C16" s="4">
        <v>119.0</v>
      </c>
      <c r="D16" s="4">
        <v>209.0</v>
      </c>
      <c r="E16" s="4">
        <v>299.0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" t="s">
        <v>22</v>
      </c>
      <c r="B17" s="2" t="s">
        <v>7</v>
      </c>
      <c r="C17" s="4">
        <v>129.0</v>
      </c>
      <c r="D17" s="4">
        <v>230.0</v>
      </c>
      <c r="E17" s="4">
        <v>329.0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 t="s">
        <v>23</v>
      </c>
      <c r="B18" s="2" t="s">
        <v>7</v>
      </c>
      <c r="C18" s="4">
        <v>129.0</v>
      </c>
      <c r="D18" s="4">
        <v>230.0</v>
      </c>
      <c r="E18" s="4">
        <v>339.0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" t="s">
        <v>24</v>
      </c>
      <c r="B19" s="2" t="s">
        <v>7</v>
      </c>
      <c r="C19" s="4">
        <v>149.0</v>
      </c>
      <c r="D19" s="4">
        <v>249.0</v>
      </c>
      <c r="E19" s="4">
        <v>349.0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" t="s">
        <v>25</v>
      </c>
      <c r="B20" s="2" t="s">
        <v>7</v>
      </c>
      <c r="C20" s="4">
        <v>170.0</v>
      </c>
      <c r="D20" s="4">
        <v>279.0</v>
      </c>
      <c r="E20" s="4">
        <v>370.0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" t="s">
        <v>26</v>
      </c>
      <c r="B21" s="2" t="s">
        <v>7</v>
      </c>
      <c r="C21" s="4"/>
      <c r="D21" s="2"/>
      <c r="E21" s="2"/>
      <c r="F21" s="2">
        <v>99.0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27</v>
      </c>
      <c r="B22" s="2" t="s">
        <v>28</v>
      </c>
      <c r="C22" s="2"/>
      <c r="D22" s="2"/>
      <c r="E22" s="2"/>
      <c r="F22" s="2">
        <v>39.0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29</v>
      </c>
      <c r="B23" s="2" t="s">
        <v>28</v>
      </c>
      <c r="C23" s="2"/>
      <c r="D23" s="2"/>
      <c r="E23" s="2"/>
      <c r="F23" s="2">
        <v>59.0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30</v>
      </c>
      <c r="B24" s="2" t="s">
        <v>28</v>
      </c>
      <c r="C24" s="2"/>
      <c r="D24" s="2"/>
      <c r="E24" s="2"/>
      <c r="F24" s="2">
        <v>99.0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31</v>
      </c>
      <c r="B25" s="2" t="s">
        <v>28</v>
      </c>
      <c r="C25" s="2"/>
      <c r="D25" s="2"/>
      <c r="E25" s="2"/>
      <c r="F25" s="2">
        <v>69.0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32</v>
      </c>
      <c r="B26" s="2" t="s">
        <v>33</v>
      </c>
      <c r="C26" s="2"/>
      <c r="D26" s="2"/>
      <c r="E26" s="2"/>
      <c r="F26" s="2">
        <v>70.0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34</v>
      </c>
      <c r="B27" s="2" t="s">
        <v>33</v>
      </c>
      <c r="C27" s="2"/>
      <c r="D27" s="2"/>
      <c r="E27" s="2"/>
      <c r="F27" s="2">
        <v>110.0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35</v>
      </c>
      <c r="B28" s="2" t="s">
        <v>36</v>
      </c>
      <c r="C28" s="2"/>
      <c r="D28" s="2"/>
      <c r="E28" s="2"/>
      <c r="F28" s="2">
        <v>49.0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37</v>
      </c>
      <c r="B29" s="2" t="s">
        <v>36</v>
      </c>
      <c r="C29" s="2"/>
      <c r="D29" s="2"/>
      <c r="E29" s="2"/>
      <c r="F29" s="2">
        <v>89.0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38</v>
      </c>
      <c r="B30" s="2" t="s">
        <v>39</v>
      </c>
      <c r="C30" s="2"/>
      <c r="D30" s="2"/>
      <c r="E30" s="2"/>
      <c r="F30" s="2">
        <v>70.0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40</v>
      </c>
      <c r="B31" s="2" t="s">
        <v>39</v>
      </c>
      <c r="C31" s="2"/>
      <c r="D31" s="2"/>
      <c r="E31" s="2"/>
      <c r="F31" s="2">
        <v>50.0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41</v>
      </c>
      <c r="B32" s="2" t="s">
        <v>39</v>
      </c>
      <c r="C32" s="2"/>
      <c r="D32" s="2"/>
      <c r="E32" s="2"/>
      <c r="F32" s="2">
        <v>70.0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42</v>
      </c>
      <c r="B33" s="2" t="s">
        <v>39</v>
      </c>
      <c r="C33" s="2"/>
      <c r="D33" s="2"/>
      <c r="E33" s="2"/>
      <c r="F33" s="2">
        <v>60.0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43</v>
      </c>
      <c r="B34" s="2" t="s">
        <v>39</v>
      </c>
      <c r="C34" s="2"/>
      <c r="D34" s="2"/>
      <c r="E34" s="2"/>
      <c r="F34" s="2">
        <v>50.0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44</v>
      </c>
      <c r="B35" s="2" t="s">
        <v>39</v>
      </c>
      <c r="C35" s="2"/>
      <c r="D35" s="2"/>
      <c r="E35" s="2"/>
      <c r="F35" s="2">
        <v>40.0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45</v>
      </c>
      <c r="B36" s="2" t="s">
        <v>39</v>
      </c>
      <c r="C36" s="2"/>
      <c r="D36" s="2"/>
      <c r="E36" s="2"/>
      <c r="F36" s="2">
        <v>50.0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46</v>
      </c>
      <c r="B37" s="2" t="s">
        <v>39</v>
      </c>
      <c r="C37" s="2"/>
      <c r="D37" s="2"/>
      <c r="E37" s="2"/>
      <c r="F37" s="2">
        <v>50.0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47</v>
      </c>
      <c r="B38" s="2" t="s">
        <v>48</v>
      </c>
      <c r="C38" s="2"/>
      <c r="D38" s="2"/>
      <c r="E38" s="2"/>
      <c r="F38" s="2">
        <v>40.0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49</v>
      </c>
      <c r="B39" s="2" t="s">
        <v>48</v>
      </c>
      <c r="C39" s="2"/>
      <c r="D39" s="2"/>
      <c r="E39" s="2"/>
      <c r="F39" s="2">
        <v>40.0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50</v>
      </c>
      <c r="B40" s="2" t="s">
        <v>48</v>
      </c>
      <c r="C40" s="2"/>
      <c r="D40" s="2"/>
      <c r="E40" s="2"/>
      <c r="F40" s="2">
        <v>30.0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51</v>
      </c>
      <c r="B41" s="2" t="s">
        <v>48</v>
      </c>
      <c r="C41" s="2"/>
      <c r="D41" s="2"/>
      <c r="E41" s="2"/>
      <c r="F41" s="2">
        <v>35.0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52</v>
      </c>
      <c r="B42" s="2" t="s">
        <v>48</v>
      </c>
      <c r="C42" s="2"/>
      <c r="D42" s="2"/>
      <c r="E42" s="2"/>
      <c r="F42" s="2">
        <v>35.0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53</v>
      </c>
      <c r="B43" s="2" t="s">
        <v>48</v>
      </c>
      <c r="C43" s="2"/>
      <c r="D43" s="2"/>
      <c r="E43" s="2"/>
      <c r="F43" s="2">
        <v>30.0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54</v>
      </c>
      <c r="B44" s="2" t="s">
        <v>48</v>
      </c>
      <c r="C44" s="2"/>
      <c r="D44" s="2"/>
      <c r="E44" s="2"/>
      <c r="F44" s="2">
        <v>70.0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55</v>
      </c>
      <c r="B45" s="2" t="s">
        <v>48</v>
      </c>
      <c r="C45" s="2"/>
      <c r="D45" s="2"/>
      <c r="E45" s="2"/>
      <c r="F45" s="2">
        <v>90.0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56</v>
      </c>
      <c r="B46" s="2" t="s">
        <v>48</v>
      </c>
      <c r="C46" s="2"/>
      <c r="D46" s="2"/>
      <c r="E46" s="2"/>
      <c r="F46" s="2">
        <v>110.0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57</v>
      </c>
      <c r="B47" s="2" t="s">
        <v>58</v>
      </c>
      <c r="C47" s="4"/>
      <c r="D47" s="2"/>
      <c r="E47" s="2"/>
      <c r="F47" s="4">
        <v>149.0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59</v>
      </c>
      <c r="B48" s="2" t="s">
        <v>58</v>
      </c>
      <c r="C48" s="4"/>
      <c r="D48" s="2"/>
      <c r="E48" s="2"/>
      <c r="F48" s="4">
        <v>199.0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60</v>
      </c>
      <c r="B49" s="2" t="s">
        <v>61</v>
      </c>
      <c r="C49" s="2"/>
      <c r="D49" s="2"/>
      <c r="E49" s="2"/>
      <c r="F49" s="2">
        <v>359.0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62</v>
      </c>
      <c r="B50" s="2" t="s">
        <v>61</v>
      </c>
      <c r="C50" s="2"/>
      <c r="D50" s="2"/>
      <c r="E50" s="2"/>
      <c r="F50" s="2">
        <v>579.0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 t="s">
        <v>63</v>
      </c>
      <c r="B51" s="2" t="s">
        <v>64</v>
      </c>
      <c r="C51" s="2"/>
      <c r="D51" s="2"/>
      <c r="E51" s="2"/>
      <c r="F51" s="2">
        <v>20.0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65</v>
      </c>
      <c r="B52" s="2" t="s">
        <v>64</v>
      </c>
      <c r="C52" s="2"/>
      <c r="D52" s="2"/>
      <c r="E52" s="2"/>
      <c r="F52" s="2">
        <v>20.0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 t="s">
        <v>66</v>
      </c>
      <c r="B53" s="2" t="s">
        <v>28</v>
      </c>
      <c r="C53" s="2"/>
      <c r="D53" s="2"/>
      <c r="E53" s="2"/>
      <c r="F53" s="2">
        <v>5.0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 t="s">
        <v>67</v>
      </c>
      <c r="B54" s="2" t="s">
        <v>68</v>
      </c>
      <c r="C54" s="2"/>
      <c r="D54" s="2"/>
      <c r="E54" s="2"/>
      <c r="F54" s="2">
        <v>40.0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 t="s">
        <v>69</v>
      </c>
      <c r="B55" s="2" t="s">
        <v>68</v>
      </c>
      <c r="C55" s="2"/>
      <c r="D55" s="2"/>
      <c r="E55" s="2"/>
      <c r="F55" s="2">
        <v>20.0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1.0"/>
    <col customWidth="1" min="4" max="4" width="26.0"/>
    <col customWidth="1" min="5" max="5" width="6.0"/>
    <col customWidth="1" min="6" max="6" width="5.0"/>
    <col customWidth="1" min="7" max="7" width="13.0"/>
    <col customWidth="1" min="8" max="8" width="12.0"/>
    <col customWidth="1" min="9" max="9" width="16.0"/>
    <col customWidth="1" min="10" max="10" width="22.0"/>
    <col customWidth="1" min="11" max="26" width="8.71"/>
  </cols>
  <sheetData>
    <row r="1" ht="30.0" customHeight="1">
      <c r="A1" s="5" t="s">
        <v>70</v>
      </c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7.5" customHeight="1">
      <c r="A2" s="7" t="s">
        <v>71</v>
      </c>
      <c r="B2" s="8" t="s">
        <v>72</v>
      </c>
      <c r="C2" s="8" t="s">
        <v>73</v>
      </c>
      <c r="D2" s="8" t="s">
        <v>0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  <c r="J2" s="8" t="s">
        <v>79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9">
        <v>45170.0</v>
      </c>
      <c r="B3" s="10" t="str">
        <f t="shared" ref="B3:B999" si="1">IF(A3="","",TEXT(A3,"dddd"))</f>
        <v>Friday</v>
      </c>
      <c r="C3" s="10" t="str">
        <f>IF(D3="","",VLOOKUP(D3,Menu!$A$2:$B$105,2,0))</f>
        <v>Pizza</v>
      </c>
      <c r="D3" s="10" t="s">
        <v>26</v>
      </c>
      <c r="E3" s="10" t="s">
        <v>5</v>
      </c>
      <c r="F3" s="10">
        <v>1.0</v>
      </c>
      <c r="G3" s="10">
        <f t="array" ref="G3">IF(OR(D3="",E3=""),"",IFERROR(CHOOSE(MATCH(E3,{"S","M","L","-"},0),VLOOKUP(D3,Menu!$A$2:$F$105,3,0),VLOOKUP(D3,Menu!$A$2:$F$105,4,0),VLOOKUP(D3,Menu!$A$2:$F$105,5,0),VLOOKUP(D3,Menu!$A$2:$F$105,6,0)),"N/A"))</f>
        <v>99</v>
      </c>
      <c r="H3" s="10">
        <f t="shared" ref="H3:H999" si="2">IF(OR(F3="",G3=""),"",F3*G3)</f>
        <v>99</v>
      </c>
      <c r="I3" s="10">
        <f t="shared" ref="I3:I493" si="3">IF(A3="","",SUMIF($A$3:$A$496,A3,$H$3:$H$1048))</f>
        <v>913</v>
      </c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0" customHeight="1">
      <c r="A4" s="9">
        <v>45170.0</v>
      </c>
      <c r="B4" s="10" t="str">
        <f t="shared" si="1"/>
        <v>Friday</v>
      </c>
      <c r="C4" s="10" t="str">
        <f>IF(D4="","",VLOOKUP(D4,Menu!$A$2:$B$105,2,0))</f>
        <v>Pizza</v>
      </c>
      <c r="D4" s="10" t="s">
        <v>11</v>
      </c>
      <c r="E4" s="10" t="s">
        <v>3</v>
      </c>
      <c r="F4" s="10">
        <v>2.0</v>
      </c>
      <c r="G4" s="10">
        <f t="array" ref="G4">IF(OR(D4="",E4=""),"",IFERROR(CHOOSE(MATCH(E4,{"S","M","L","-"},0),VLOOKUP(D4,Menu!$A$2:$F$105,3,0),VLOOKUP(D4,Menu!$A$2:$F$105,4,0),VLOOKUP(D4,Menu!$A$2:$F$105,5,0),VLOOKUP(D4,Menu!$A$2:$F$105,6,0)),"N/A"))</f>
        <v>109</v>
      </c>
      <c r="H4" s="10">
        <f t="shared" si="2"/>
        <v>218</v>
      </c>
      <c r="I4" s="10">
        <f t="shared" si="3"/>
        <v>913</v>
      </c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0" customHeight="1">
      <c r="A5" s="9">
        <v>45170.0</v>
      </c>
      <c r="B5" s="10" t="str">
        <f t="shared" si="1"/>
        <v>Friday</v>
      </c>
      <c r="C5" s="10" t="str">
        <f>IF(D5="","",VLOOKUP(D5,Menu!$A$2:$B$105,2,0))</f>
        <v>Pizza</v>
      </c>
      <c r="D5" s="10" t="s">
        <v>20</v>
      </c>
      <c r="E5" s="10" t="s">
        <v>2</v>
      </c>
      <c r="F5" s="10">
        <v>1.0</v>
      </c>
      <c r="G5" s="10">
        <f t="array" ref="G5">IF(OR(D5="",E5=""),"",IFERROR(CHOOSE(MATCH(E5,{"S","M","L","-"},0),VLOOKUP(D5,Menu!$A$2:$F$105,3,0),VLOOKUP(D5,Menu!$A$2:$F$105,4,0),VLOOKUP(D5,Menu!$A$2:$F$105,5,0),VLOOKUP(D5,Menu!$A$2:$F$105,6,0)),"N/A"))</f>
        <v>119</v>
      </c>
      <c r="H5" s="10">
        <f t="shared" si="2"/>
        <v>119</v>
      </c>
      <c r="I5" s="10">
        <f t="shared" si="3"/>
        <v>913</v>
      </c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0" customHeight="1">
      <c r="A6" s="9">
        <v>45170.0</v>
      </c>
      <c r="B6" s="10" t="str">
        <f t="shared" si="1"/>
        <v>Friday</v>
      </c>
      <c r="C6" s="10" t="str">
        <f>IF(D6="","",VLOOKUP(D6,Menu!$A$2:$B$105,2,0))</f>
        <v>Dessert</v>
      </c>
      <c r="D6" s="10" t="s">
        <v>53</v>
      </c>
      <c r="E6" s="10" t="s">
        <v>5</v>
      </c>
      <c r="F6" s="10">
        <v>1.0</v>
      </c>
      <c r="G6" s="10">
        <f t="array" ref="G6">IF(OR(D6="",E6=""),"",IFERROR(CHOOSE(MATCH(E6,{"S","M","L","-"},0),VLOOKUP(D6,Menu!$A$2:$F$105,3,0),VLOOKUP(D6,Menu!$A$2:$F$105,4,0),VLOOKUP(D6,Menu!$A$2:$F$105,5,0),VLOOKUP(D6,Menu!$A$2:$F$105,6,0)),"N/A"))</f>
        <v>30</v>
      </c>
      <c r="H6" s="10">
        <f t="shared" si="2"/>
        <v>30</v>
      </c>
      <c r="I6" s="10">
        <f t="shared" si="3"/>
        <v>913</v>
      </c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0" customHeight="1">
      <c r="A7" s="9">
        <v>45170.0</v>
      </c>
      <c r="B7" s="10" t="str">
        <f t="shared" si="1"/>
        <v>Friday</v>
      </c>
      <c r="C7" s="10" t="str">
        <f>IF(D7="","",VLOOKUP(D7,Menu!$A$2:$B$105,2,0))</f>
        <v>Pizza</v>
      </c>
      <c r="D7" s="10" t="s">
        <v>11</v>
      </c>
      <c r="E7" s="10" t="s">
        <v>2</v>
      </c>
      <c r="F7" s="10">
        <v>1.0</v>
      </c>
      <c r="G7" s="10">
        <f t="array" ref="G7">IF(OR(D7="",E7=""),"",IFERROR(CHOOSE(MATCH(E7,{"S","M","L","-"},0),VLOOKUP(D7,Menu!$A$2:$F$105,3,0),VLOOKUP(D7,Menu!$A$2:$F$105,4,0),VLOOKUP(D7,Menu!$A$2:$F$105,5,0),VLOOKUP(D7,Menu!$A$2:$F$105,6,0)),"N/A"))</f>
        <v>69</v>
      </c>
      <c r="H7" s="10">
        <f t="shared" si="2"/>
        <v>69</v>
      </c>
      <c r="I7" s="10">
        <f t="shared" si="3"/>
        <v>913</v>
      </c>
      <c r="J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0" customHeight="1">
      <c r="A8" s="9">
        <v>45170.0</v>
      </c>
      <c r="B8" s="10" t="str">
        <f t="shared" si="1"/>
        <v>Friday</v>
      </c>
      <c r="C8" s="10" t="str">
        <f>IF(D8="","",VLOOKUP(D8,Menu!$A$2:$B$105,2,0))</f>
        <v>Pizza</v>
      </c>
      <c r="D8" s="10" t="s">
        <v>18</v>
      </c>
      <c r="E8" s="10" t="s">
        <v>3</v>
      </c>
      <c r="F8" s="10">
        <v>1.0</v>
      </c>
      <c r="G8" s="10">
        <f t="array" ref="G8">IF(OR(D8="",E8=""),"",IFERROR(CHOOSE(MATCH(E8,{"S","M","L","-"},0),VLOOKUP(D8,Menu!$A$2:$F$105,3,0),VLOOKUP(D8,Menu!$A$2:$F$105,4,0),VLOOKUP(D8,Menu!$A$2:$F$105,5,0),VLOOKUP(D8,Menu!$A$2:$F$105,6,0)),"N/A"))</f>
        <v>199</v>
      </c>
      <c r="H8" s="10">
        <f t="shared" si="2"/>
        <v>199</v>
      </c>
      <c r="I8" s="10">
        <f t="shared" si="3"/>
        <v>913</v>
      </c>
      <c r="J8" s="1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0" customHeight="1">
      <c r="A9" s="9">
        <v>45170.0</v>
      </c>
      <c r="B9" s="10" t="str">
        <f t="shared" si="1"/>
        <v>Friday</v>
      </c>
      <c r="C9" s="10" t="str">
        <f>IF(D9="","",VLOOKUP(D9,Menu!$A$2:$B$105,2,0))</f>
        <v>Pizza</v>
      </c>
      <c r="D9" s="10" t="s">
        <v>15</v>
      </c>
      <c r="E9" s="10" t="s">
        <v>2</v>
      </c>
      <c r="F9" s="10">
        <v>1.0</v>
      </c>
      <c r="G9" s="10">
        <f t="array" ref="G9">IF(OR(D9="",E9=""),"",IFERROR(CHOOSE(MATCH(E9,{"S","M","L","-"},0),VLOOKUP(D9,Menu!$A$2:$F$105,3,0),VLOOKUP(D9,Menu!$A$2:$F$105,4,0),VLOOKUP(D9,Menu!$A$2:$F$105,5,0),VLOOKUP(D9,Menu!$A$2:$F$105,6,0)),"N/A"))</f>
        <v>99</v>
      </c>
      <c r="H9" s="10">
        <f t="shared" si="2"/>
        <v>99</v>
      </c>
      <c r="I9" s="10">
        <f t="shared" si="3"/>
        <v>913</v>
      </c>
      <c r="J9" s="10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0" customHeight="1">
      <c r="A10" s="9">
        <v>45170.0</v>
      </c>
      <c r="B10" s="10" t="str">
        <f t="shared" si="1"/>
        <v>Friday</v>
      </c>
      <c r="C10" s="10" t="str">
        <f>IF(D10="","",VLOOKUP(D10,Menu!$A$2:$B$105,2,0))</f>
        <v>Beverage</v>
      </c>
      <c r="D10" s="10" t="s">
        <v>63</v>
      </c>
      <c r="E10" s="10" t="s">
        <v>5</v>
      </c>
      <c r="F10" s="10">
        <v>4.0</v>
      </c>
      <c r="G10" s="10">
        <f t="array" ref="G10">IF(OR(D10="",E10=""),"",IFERROR(CHOOSE(MATCH(E10,{"S","M","L","-"},0),VLOOKUP(D10,Menu!$A$2:$F$105,3,0),VLOOKUP(D10,Menu!$A$2:$F$105,4,0),VLOOKUP(D10,Menu!$A$2:$F$105,5,0),VLOOKUP(D10,Menu!$A$2:$F$105,6,0)),"N/A"))</f>
        <v>20</v>
      </c>
      <c r="H10" s="10">
        <f t="shared" si="2"/>
        <v>80</v>
      </c>
      <c r="I10" s="10">
        <f t="shared" si="3"/>
        <v>913</v>
      </c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0" customHeight="1">
      <c r="A11" s="12">
        <v>45171.0</v>
      </c>
      <c r="B11" s="13" t="str">
        <f t="shared" si="1"/>
        <v>Saturday</v>
      </c>
      <c r="C11" s="13" t="str">
        <f>IF(D11="","",VLOOKUP(D11,Menu!$A$2:$B$105,2,0))</f>
        <v>Beverage</v>
      </c>
      <c r="D11" s="13" t="s">
        <v>63</v>
      </c>
      <c r="E11" s="13" t="s">
        <v>5</v>
      </c>
      <c r="F11" s="13">
        <v>10.0</v>
      </c>
      <c r="G11" s="13">
        <f t="array" ref="G11">IF(OR(D11="",E11=""),"",IFERROR(CHOOSE(MATCH(E11,{"S","M","L","-"},0),VLOOKUP(D11,Menu!$A$2:$F$105,3,0),VLOOKUP(D11,Menu!$A$2:$F$105,4,0),VLOOKUP(D11,Menu!$A$2:$F$105,5,0),VLOOKUP(D11,Menu!$A$2:$F$105,6,0)),"N/A"))</f>
        <v>20</v>
      </c>
      <c r="H11" s="13">
        <f t="shared" si="2"/>
        <v>200</v>
      </c>
      <c r="I11" s="13">
        <f t="shared" si="3"/>
        <v>1678</v>
      </c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2">
        <v>45171.0</v>
      </c>
      <c r="B12" s="13" t="str">
        <f t="shared" si="1"/>
        <v>Saturday</v>
      </c>
      <c r="C12" s="13" t="str">
        <f>IF(D12="","",VLOOKUP(D12,Menu!$A$2:$B$105,2,0))</f>
        <v>Shake</v>
      </c>
      <c r="D12" s="13" t="s">
        <v>42</v>
      </c>
      <c r="E12" s="13" t="s">
        <v>5</v>
      </c>
      <c r="F12" s="13">
        <v>1.0</v>
      </c>
      <c r="G12" s="13">
        <f t="array" ref="G12">IF(OR(D12="",E12=""),"",IFERROR(CHOOSE(MATCH(E12,{"S","M","L","-"},0),VLOOKUP(D12,Menu!$A$2:$F$105,3,0),VLOOKUP(D12,Menu!$A$2:$F$105,4,0),VLOOKUP(D12,Menu!$A$2:$F$105,5,0),VLOOKUP(D12,Menu!$A$2:$F$105,6,0)),"N/A"))</f>
        <v>60</v>
      </c>
      <c r="H12" s="13">
        <f t="shared" si="2"/>
        <v>60</v>
      </c>
      <c r="I12" s="13">
        <f t="shared" si="3"/>
        <v>1678</v>
      </c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2">
        <v>45171.0</v>
      </c>
      <c r="B13" s="13" t="str">
        <f t="shared" si="1"/>
        <v>Saturday</v>
      </c>
      <c r="C13" s="13" t="str">
        <f>IF(D13="","",VLOOKUP(D13,Menu!$A$2:$B$105,2,0))</f>
        <v>Shake</v>
      </c>
      <c r="D13" s="13" t="s">
        <v>43</v>
      </c>
      <c r="E13" s="13" t="s">
        <v>5</v>
      </c>
      <c r="F13" s="13">
        <v>1.0</v>
      </c>
      <c r="G13" s="13">
        <f t="array" ref="G13">IF(OR(D13="",E13=""),"",IFERROR(CHOOSE(MATCH(E13,{"S","M","L","-"},0),VLOOKUP(D13,Menu!$A$2:$F$105,3,0),VLOOKUP(D13,Menu!$A$2:$F$105,4,0),VLOOKUP(D13,Menu!$A$2:$F$105,5,0),VLOOKUP(D13,Menu!$A$2:$F$105,6,0)),"N/A"))</f>
        <v>50</v>
      </c>
      <c r="H13" s="13">
        <f t="shared" si="2"/>
        <v>50</v>
      </c>
      <c r="I13" s="13">
        <f t="shared" si="3"/>
        <v>1678</v>
      </c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0" customHeight="1">
      <c r="A14" s="12">
        <v>45171.0</v>
      </c>
      <c r="B14" s="13" t="str">
        <f t="shared" si="1"/>
        <v>Saturday</v>
      </c>
      <c r="C14" s="13" t="str">
        <f>IF(D14="","",VLOOKUP(D14,Menu!$A$2:$B$105,2,0))</f>
        <v>Pizza</v>
      </c>
      <c r="D14" s="13" t="s">
        <v>26</v>
      </c>
      <c r="E14" s="13" t="s">
        <v>5</v>
      </c>
      <c r="F14" s="13">
        <v>1.0</v>
      </c>
      <c r="G14" s="13">
        <f t="array" ref="G14">IF(OR(D14="",E14=""),"",IFERROR(CHOOSE(MATCH(E14,{"S","M","L","-"},0),VLOOKUP(D14,Menu!$A$2:$F$105,3,0),VLOOKUP(D14,Menu!$A$2:$F$105,4,0),VLOOKUP(D14,Menu!$A$2:$F$105,5,0),VLOOKUP(D14,Menu!$A$2:$F$105,6,0)),"N/A"))</f>
        <v>99</v>
      </c>
      <c r="H14" s="13">
        <f t="shared" si="2"/>
        <v>99</v>
      </c>
      <c r="I14" s="13">
        <f t="shared" si="3"/>
        <v>1678</v>
      </c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0" customHeight="1">
      <c r="A15" s="12">
        <v>45171.0</v>
      </c>
      <c r="B15" s="13" t="str">
        <f t="shared" si="1"/>
        <v>Saturday</v>
      </c>
      <c r="C15" s="13" t="str">
        <f>IF(D15="","",VLOOKUP(D15,Menu!$A$2:$B$105,2,0))</f>
        <v>Pizza</v>
      </c>
      <c r="D15" s="13" t="s">
        <v>11</v>
      </c>
      <c r="E15" s="13" t="s">
        <v>2</v>
      </c>
      <c r="F15" s="13">
        <v>2.0</v>
      </c>
      <c r="G15" s="13">
        <f t="array" ref="G15">IF(OR(D15="",E15=""),"",IFERROR(CHOOSE(MATCH(E15,{"S","M","L","-"},0),VLOOKUP(D15,Menu!$A$2:$F$105,3,0),VLOOKUP(D15,Menu!$A$2:$F$105,4,0),VLOOKUP(D15,Menu!$A$2:$F$105,5,0),VLOOKUP(D15,Menu!$A$2:$F$105,6,0)),"N/A"))</f>
        <v>69</v>
      </c>
      <c r="H15" s="13">
        <f t="shared" si="2"/>
        <v>138</v>
      </c>
      <c r="I15" s="13">
        <f t="shared" si="3"/>
        <v>1678</v>
      </c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0" customHeight="1">
      <c r="A16" s="12">
        <v>45171.0</v>
      </c>
      <c r="B16" s="13" t="str">
        <f t="shared" si="1"/>
        <v>Saturday</v>
      </c>
      <c r="C16" s="13" t="str">
        <f>IF(D16="","",VLOOKUP(D16,Menu!$A$2:$B$105,2,0))</f>
        <v>Pizza</v>
      </c>
      <c r="D16" s="13" t="s">
        <v>11</v>
      </c>
      <c r="E16" s="13" t="s">
        <v>3</v>
      </c>
      <c r="F16" s="13">
        <v>1.0</v>
      </c>
      <c r="G16" s="13">
        <f t="array" ref="G16">IF(OR(D16="",E16=""),"",IFERROR(CHOOSE(MATCH(E16,{"S","M","L","-"},0),VLOOKUP(D16,Menu!$A$2:$F$105,3,0),VLOOKUP(D16,Menu!$A$2:$F$105,4,0),VLOOKUP(D16,Menu!$A$2:$F$105,5,0),VLOOKUP(D16,Menu!$A$2:$F$105,6,0)),"N/A"))</f>
        <v>109</v>
      </c>
      <c r="H16" s="13">
        <f t="shared" si="2"/>
        <v>109</v>
      </c>
      <c r="I16" s="13">
        <f t="shared" si="3"/>
        <v>1678</v>
      </c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0" customHeight="1">
      <c r="A17" s="12">
        <v>45171.0</v>
      </c>
      <c r="B17" s="13" t="str">
        <f t="shared" si="1"/>
        <v>Saturday</v>
      </c>
      <c r="C17" s="13" t="str">
        <f>IF(D17="","",VLOOKUP(D17,Menu!$A$2:$B$105,2,0))</f>
        <v>Pizza</v>
      </c>
      <c r="D17" s="13" t="s">
        <v>15</v>
      </c>
      <c r="E17" s="13" t="s">
        <v>4</v>
      </c>
      <c r="F17" s="13">
        <v>1.0</v>
      </c>
      <c r="G17" s="13">
        <f t="array" ref="G17">IF(OR(D17="",E17=""),"",IFERROR(CHOOSE(MATCH(E17,{"S","M","L","-"},0),VLOOKUP(D17,Menu!$A$2:$F$105,3,0),VLOOKUP(D17,Menu!$A$2:$F$105,4,0),VLOOKUP(D17,Menu!$A$2:$F$105,5,0),VLOOKUP(D17,Menu!$A$2:$F$105,6,0)),"N/A"))</f>
        <v>249</v>
      </c>
      <c r="H17" s="13">
        <f t="shared" si="2"/>
        <v>249</v>
      </c>
      <c r="I17" s="13">
        <f t="shared" si="3"/>
        <v>1678</v>
      </c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0" customHeight="1">
      <c r="A18" s="12">
        <v>45171.0</v>
      </c>
      <c r="B18" s="13" t="str">
        <f t="shared" si="1"/>
        <v>Saturday</v>
      </c>
      <c r="C18" s="13" t="str">
        <f>IF(D18="","",VLOOKUP(D18,Menu!$A$2:$B$105,2,0))</f>
        <v>Burger</v>
      </c>
      <c r="D18" s="13" t="s">
        <v>27</v>
      </c>
      <c r="E18" s="13" t="s">
        <v>5</v>
      </c>
      <c r="F18" s="13">
        <v>1.0</v>
      </c>
      <c r="G18" s="13">
        <f t="array" ref="G18">IF(OR(D18="",E18=""),"",IFERROR(CHOOSE(MATCH(E18,{"S","M","L","-"},0),VLOOKUP(D18,Menu!$A$2:$F$105,3,0),VLOOKUP(D18,Menu!$A$2:$F$105,4,0),VLOOKUP(D18,Menu!$A$2:$F$105,5,0),VLOOKUP(D18,Menu!$A$2:$F$105,6,0)),"N/A"))</f>
        <v>39</v>
      </c>
      <c r="H18" s="13">
        <f t="shared" si="2"/>
        <v>39</v>
      </c>
      <c r="I18" s="13">
        <f t="shared" si="3"/>
        <v>1678</v>
      </c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0" customHeight="1">
      <c r="A19" s="12">
        <v>45171.0</v>
      </c>
      <c r="B19" s="13" t="str">
        <f t="shared" si="1"/>
        <v>Saturday</v>
      </c>
      <c r="C19" s="13" t="str">
        <f>IF(D19="","",VLOOKUP(D19,Menu!$A$2:$B$105,2,0))</f>
        <v>Pizza</v>
      </c>
      <c r="D19" s="13" t="s">
        <v>8</v>
      </c>
      <c r="E19" s="13" t="s">
        <v>2</v>
      </c>
      <c r="F19" s="13">
        <v>2.0</v>
      </c>
      <c r="G19" s="13">
        <f t="array" ref="G19">IF(OR(D19="",E19=""),"",IFERROR(CHOOSE(MATCH(E19,{"S","M","L","-"},0),VLOOKUP(D19,Menu!$A$2:$F$105,3,0),VLOOKUP(D19,Menu!$A$2:$F$105,4,0),VLOOKUP(D19,Menu!$A$2:$F$105,5,0),VLOOKUP(D19,Menu!$A$2:$F$105,6,0)),"N/A"))</f>
        <v>59</v>
      </c>
      <c r="H19" s="13">
        <f t="shared" si="2"/>
        <v>118</v>
      </c>
      <c r="I19" s="13">
        <f t="shared" si="3"/>
        <v>1678</v>
      </c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2">
        <v>45171.0</v>
      </c>
      <c r="B20" s="13" t="str">
        <f t="shared" si="1"/>
        <v>Saturday</v>
      </c>
      <c r="C20" s="13" t="str">
        <f>IF(D20="","",VLOOKUP(D20,Menu!$A$2:$B$105,2,0))</f>
        <v>Pizza</v>
      </c>
      <c r="D20" s="13" t="s">
        <v>16</v>
      </c>
      <c r="E20" s="13" t="s">
        <v>4</v>
      </c>
      <c r="F20" s="13">
        <v>1.0</v>
      </c>
      <c r="G20" s="13">
        <f t="array" ref="G20">IF(OR(D20="",E20=""),"",IFERROR(CHOOSE(MATCH(E20,{"S","M","L","-"},0),VLOOKUP(D20,Menu!$A$2:$F$105,3,0),VLOOKUP(D20,Menu!$A$2:$F$105,4,0),VLOOKUP(D20,Menu!$A$2:$F$105,5,0),VLOOKUP(D20,Menu!$A$2:$F$105,6,0)),"N/A"))</f>
        <v>289</v>
      </c>
      <c r="H20" s="13">
        <f t="shared" si="2"/>
        <v>289</v>
      </c>
      <c r="I20" s="13">
        <f t="shared" si="3"/>
        <v>1678</v>
      </c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2">
        <v>45171.0</v>
      </c>
      <c r="B21" s="13" t="str">
        <f t="shared" si="1"/>
        <v>Saturday</v>
      </c>
      <c r="C21" s="13" t="str">
        <f>IF(D21="","",VLOOKUP(D21,Menu!$A$2:$B$105,2,0))</f>
        <v>Pizza</v>
      </c>
      <c r="D21" s="13" t="s">
        <v>13</v>
      </c>
      <c r="E21" s="13" t="s">
        <v>2</v>
      </c>
      <c r="F21" s="13">
        <v>2.0</v>
      </c>
      <c r="G21" s="13">
        <f t="array" ref="G21">IF(OR(D21="",E21=""),"",IFERROR(CHOOSE(MATCH(E21,{"S","M","L","-"},0),VLOOKUP(D21,Menu!$A$2:$F$105,3,0),VLOOKUP(D21,Menu!$A$2:$F$105,4,0),VLOOKUP(D21,Menu!$A$2:$F$105,5,0),VLOOKUP(D21,Menu!$A$2:$F$105,6,0)),"N/A"))</f>
        <v>79</v>
      </c>
      <c r="H21" s="13">
        <f t="shared" si="2"/>
        <v>158</v>
      </c>
      <c r="I21" s="13">
        <f t="shared" si="3"/>
        <v>1678</v>
      </c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2">
        <v>45171.0</v>
      </c>
      <c r="B22" s="13" t="str">
        <f t="shared" si="1"/>
        <v>Saturday</v>
      </c>
      <c r="C22" s="13" t="str">
        <f>IF(D22="","",VLOOKUP(D22,Menu!$A$2:$B$105,2,0))</f>
        <v>Beverage</v>
      </c>
      <c r="D22" s="13" t="s">
        <v>63</v>
      </c>
      <c r="E22" s="13" t="s">
        <v>5</v>
      </c>
      <c r="F22" s="13">
        <v>1.0</v>
      </c>
      <c r="G22" s="13">
        <f t="array" ref="G22">IF(OR(D22="",E22=""),"",IFERROR(CHOOSE(MATCH(E22,{"S","M","L","-"},0),VLOOKUP(D22,Menu!$A$2:$F$105,3,0),VLOOKUP(D22,Menu!$A$2:$F$105,4,0),VLOOKUP(D22,Menu!$A$2:$F$105,5,0),VLOOKUP(D22,Menu!$A$2:$F$105,6,0)),"N/A"))</f>
        <v>20</v>
      </c>
      <c r="H22" s="13">
        <f t="shared" si="2"/>
        <v>20</v>
      </c>
      <c r="I22" s="13">
        <f t="shared" si="3"/>
        <v>1678</v>
      </c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2">
        <v>45171.0</v>
      </c>
      <c r="B23" s="13" t="str">
        <f t="shared" si="1"/>
        <v>Saturday</v>
      </c>
      <c r="C23" s="13" t="str">
        <f>IF(D23="","",VLOOKUP(D23,Menu!$A$2:$B$105,2,0))</f>
        <v>Pizza</v>
      </c>
      <c r="D23" s="13" t="s">
        <v>15</v>
      </c>
      <c r="E23" s="13" t="s">
        <v>3</v>
      </c>
      <c r="F23" s="13">
        <v>1.0</v>
      </c>
      <c r="G23" s="13">
        <f t="array" ref="G23">IF(OR(D23="",E23=""),"",IFERROR(CHOOSE(MATCH(E23,{"S","M","L","-"},0),VLOOKUP(D23,Menu!$A$2:$F$105,3,0),VLOOKUP(D23,Menu!$A$2:$F$105,4,0),VLOOKUP(D23,Menu!$A$2:$F$105,5,0),VLOOKUP(D23,Menu!$A$2:$F$105,6,0)),"N/A"))</f>
        <v>149</v>
      </c>
      <c r="H23" s="13">
        <f t="shared" si="2"/>
        <v>149</v>
      </c>
      <c r="I23" s="13">
        <f t="shared" si="3"/>
        <v>1678</v>
      </c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9">
        <v>45172.0</v>
      </c>
      <c r="B24" s="10" t="str">
        <f t="shared" si="1"/>
        <v>Sunday</v>
      </c>
      <c r="C24" s="10" t="str">
        <f>IF(D24="","",VLOOKUP(D24,Menu!$A$2:$B$105,2,0))</f>
        <v>Pizza</v>
      </c>
      <c r="D24" s="10" t="s">
        <v>11</v>
      </c>
      <c r="E24" s="10" t="s">
        <v>4</v>
      </c>
      <c r="F24" s="10">
        <v>1.0</v>
      </c>
      <c r="G24" s="10">
        <f t="array" ref="G24">IF(OR(D24="",E24=""),"",IFERROR(CHOOSE(MATCH(E24,{"S","M","L","-"},0),VLOOKUP(D24,Menu!$A$2:$F$105,3,0),VLOOKUP(D24,Menu!$A$2:$F$105,4,0),VLOOKUP(D24,Menu!$A$2:$F$105,5,0),VLOOKUP(D24,Menu!$A$2:$F$105,6,0)),"N/A"))</f>
        <v>209</v>
      </c>
      <c r="H24" s="10">
        <f t="shared" si="2"/>
        <v>209</v>
      </c>
      <c r="I24" s="10">
        <f t="shared" si="3"/>
        <v>1456</v>
      </c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9">
        <v>45172.0</v>
      </c>
      <c r="B25" s="10" t="str">
        <f t="shared" si="1"/>
        <v>Sunday</v>
      </c>
      <c r="C25" s="10" t="str">
        <f>IF(D25="","",VLOOKUP(D25,Menu!$A$2:$B$105,2,0))</f>
        <v>Pizza</v>
      </c>
      <c r="D25" s="10" t="s">
        <v>17</v>
      </c>
      <c r="E25" s="10" t="s">
        <v>3</v>
      </c>
      <c r="F25" s="10">
        <v>1.0</v>
      </c>
      <c r="G25" s="10">
        <f t="array" ref="G25">IF(OR(D25="",E25=""),"",IFERROR(CHOOSE(MATCH(E25,{"S","M","L","-"},0),VLOOKUP(D25,Menu!$A$2:$F$105,3,0),VLOOKUP(D25,Menu!$A$2:$F$105,4,0),VLOOKUP(D25,Menu!$A$2:$F$105,5,0),VLOOKUP(D25,Menu!$A$2:$F$105,6,0)),"N/A"))</f>
        <v>199</v>
      </c>
      <c r="H25" s="10">
        <f t="shared" si="2"/>
        <v>199</v>
      </c>
      <c r="I25" s="10">
        <f t="shared" si="3"/>
        <v>1456</v>
      </c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9">
        <v>45172.0</v>
      </c>
      <c r="B26" s="10" t="str">
        <f t="shared" si="1"/>
        <v>Sunday</v>
      </c>
      <c r="C26" s="10" t="str">
        <f>IF(D26="","",VLOOKUP(D26,Menu!$A$2:$B$105,2,0))</f>
        <v>Burger</v>
      </c>
      <c r="D26" s="10" t="s">
        <v>27</v>
      </c>
      <c r="E26" s="10" t="s">
        <v>5</v>
      </c>
      <c r="F26" s="10">
        <v>1.0</v>
      </c>
      <c r="G26" s="10">
        <f t="array" ref="G26">IF(OR(D26="",E26=""),"",IFERROR(CHOOSE(MATCH(E26,{"S","M","L","-"},0),VLOOKUP(D26,Menu!$A$2:$F$105,3,0),VLOOKUP(D26,Menu!$A$2:$F$105,4,0),VLOOKUP(D26,Menu!$A$2:$F$105,5,0),VLOOKUP(D26,Menu!$A$2:$F$105,6,0)),"N/A"))</f>
        <v>39</v>
      </c>
      <c r="H26" s="10">
        <f t="shared" si="2"/>
        <v>39</v>
      </c>
      <c r="I26" s="10">
        <f t="shared" si="3"/>
        <v>1456</v>
      </c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9">
        <v>45172.0</v>
      </c>
      <c r="B27" s="10" t="str">
        <f t="shared" si="1"/>
        <v>Sunday</v>
      </c>
      <c r="C27" s="10" t="str">
        <f>IF(D27="","",VLOOKUP(D27,Menu!$A$2:$B$105,2,0))</f>
        <v>Pizza</v>
      </c>
      <c r="D27" s="10" t="s">
        <v>8</v>
      </c>
      <c r="E27" s="10" t="s">
        <v>2</v>
      </c>
      <c r="F27" s="10">
        <v>2.0</v>
      </c>
      <c r="G27" s="10">
        <f t="array" ref="G27">IF(OR(D27="",E27=""),"",IFERROR(CHOOSE(MATCH(E27,{"S","M","L","-"},0),VLOOKUP(D27,Menu!$A$2:$F$105,3,0),VLOOKUP(D27,Menu!$A$2:$F$105,4,0),VLOOKUP(D27,Menu!$A$2:$F$105,5,0),VLOOKUP(D27,Menu!$A$2:$F$105,6,0)),"N/A"))</f>
        <v>59</v>
      </c>
      <c r="H27" s="10">
        <f t="shared" si="2"/>
        <v>118</v>
      </c>
      <c r="I27" s="10">
        <f t="shared" si="3"/>
        <v>1456</v>
      </c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9">
        <v>45172.0</v>
      </c>
      <c r="B28" s="10" t="str">
        <f t="shared" si="1"/>
        <v>Sunday</v>
      </c>
      <c r="C28" s="10" t="str">
        <f>IF(D28="","",VLOOKUP(D28,Menu!$A$2:$B$105,2,0))</f>
        <v>Pizza</v>
      </c>
      <c r="D28" s="10" t="s">
        <v>6</v>
      </c>
      <c r="E28" s="10" t="s">
        <v>2</v>
      </c>
      <c r="F28" s="10">
        <v>4.0</v>
      </c>
      <c r="G28" s="10">
        <f t="array" ref="G28">IF(OR(D28="",E28=""),"",IFERROR(CHOOSE(MATCH(E28,{"S","M","L","-"},0),VLOOKUP(D28,Menu!$A$2:$F$105,3,0),VLOOKUP(D28,Menu!$A$2:$F$105,4,0),VLOOKUP(D28,Menu!$A$2:$F$105,5,0),VLOOKUP(D28,Menu!$A$2:$F$105,6,0)),"N/A"))</f>
        <v>49</v>
      </c>
      <c r="H28" s="10">
        <f t="shared" si="2"/>
        <v>196</v>
      </c>
      <c r="I28" s="10">
        <f t="shared" si="3"/>
        <v>1456</v>
      </c>
      <c r="J28" s="10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9">
        <v>45172.0</v>
      </c>
      <c r="B29" s="10" t="str">
        <f t="shared" si="1"/>
        <v>Sunday</v>
      </c>
      <c r="C29" s="10" t="str">
        <f>IF(D29="","",VLOOKUP(D29,Menu!$A$2:$B$105,2,0))</f>
        <v>Pizza</v>
      </c>
      <c r="D29" s="10" t="s">
        <v>11</v>
      </c>
      <c r="E29" s="10" t="s">
        <v>2</v>
      </c>
      <c r="F29" s="10">
        <v>2.0</v>
      </c>
      <c r="G29" s="10">
        <f t="array" ref="G29">IF(OR(D29="",E29=""),"",IFERROR(CHOOSE(MATCH(E29,{"S","M","L","-"},0),VLOOKUP(D29,Menu!$A$2:$F$105,3,0),VLOOKUP(D29,Menu!$A$2:$F$105,4,0),VLOOKUP(D29,Menu!$A$2:$F$105,5,0),VLOOKUP(D29,Menu!$A$2:$F$105,6,0)),"N/A"))</f>
        <v>69</v>
      </c>
      <c r="H29" s="10">
        <f t="shared" si="2"/>
        <v>138</v>
      </c>
      <c r="I29" s="10">
        <f t="shared" si="3"/>
        <v>1456</v>
      </c>
      <c r="J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9">
        <v>45172.0</v>
      </c>
      <c r="B30" s="10" t="str">
        <f t="shared" si="1"/>
        <v>Sunday</v>
      </c>
      <c r="C30" s="10" t="str">
        <f>IF(D30="","",VLOOKUP(D30,Menu!$A$2:$B$105,2,0))</f>
        <v>Pizza</v>
      </c>
      <c r="D30" s="10" t="s">
        <v>16</v>
      </c>
      <c r="E30" s="10" t="s">
        <v>2</v>
      </c>
      <c r="F30" s="10">
        <v>2.0</v>
      </c>
      <c r="G30" s="10">
        <f t="array" ref="G30">IF(OR(D30="",E30=""),"",IFERROR(CHOOSE(MATCH(E30,{"S","M","L","-"},0),VLOOKUP(D30,Menu!$A$2:$F$105,3,0),VLOOKUP(D30,Menu!$A$2:$F$105,4,0),VLOOKUP(D30,Menu!$A$2:$F$105,5,0),VLOOKUP(D30,Menu!$A$2:$F$105,6,0)),"N/A"))</f>
        <v>109</v>
      </c>
      <c r="H30" s="10">
        <f t="shared" si="2"/>
        <v>218</v>
      </c>
      <c r="I30" s="10">
        <f t="shared" si="3"/>
        <v>1456</v>
      </c>
      <c r="J30" s="10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9">
        <v>45172.0</v>
      </c>
      <c r="B31" s="10" t="str">
        <f t="shared" si="1"/>
        <v>Sunday</v>
      </c>
      <c r="C31" s="10" t="str">
        <f>IF(D31="","",VLOOKUP(D31,Menu!$A$2:$B$105,2,0))</f>
        <v>Combo</v>
      </c>
      <c r="D31" s="10" t="s">
        <v>59</v>
      </c>
      <c r="E31" s="15" t="s">
        <v>5</v>
      </c>
      <c r="F31" s="10">
        <v>1.0</v>
      </c>
      <c r="G31" s="10">
        <f t="array" ref="G31">IF(OR(D31="",E31=""),"",IFERROR(CHOOSE(MATCH(E31,{"S","M","L","-"},0),VLOOKUP(D31,Menu!$A$2:$F$105,3,0),VLOOKUP(D31,Menu!$A$2:$F$105,4,0),VLOOKUP(D31,Menu!$A$2:$F$105,5,0),VLOOKUP(D31,Menu!$A$2:$F$105,6,0)),"N/A"))</f>
        <v>199</v>
      </c>
      <c r="H31" s="10">
        <f t="shared" si="2"/>
        <v>199</v>
      </c>
      <c r="I31" s="10">
        <f t="shared" si="3"/>
        <v>1456</v>
      </c>
      <c r="J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9">
        <v>45172.0</v>
      </c>
      <c r="B32" s="10" t="str">
        <f t="shared" si="1"/>
        <v>Sunday</v>
      </c>
      <c r="C32" s="10" t="str">
        <f>IF(D32="","",VLOOKUP(D32,Menu!$A$2:$B$105,2,0))</f>
        <v>Beverage</v>
      </c>
      <c r="D32" s="10" t="s">
        <v>63</v>
      </c>
      <c r="E32" s="10" t="s">
        <v>5</v>
      </c>
      <c r="F32" s="10">
        <v>7.0</v>
      </c>
      <c r="G32" s="10">
        <f t="array" ref="G32">IF(OR(D32="",E32=""),"",IFERROR(CHOOSE(MATCH(E32,{"S","M","L","-"},0),VLOOKUP(D32,Menu!$A$2:$F$105,3,0),VLOOKUP(D32,Menu!$A$2:$F$105,4,0),VLOOKUP(D32,Menu!$A$2:$F$105,5,0),VLOOKUP(D32,Menu!$A$2:$F$105,6,0)),"N/A"))</f>
        <v>20</v>
      </c>
      <c r="H32" s="10">
        <f t="shared" si="2"/>
        <v>140</v>
      </c>
      <c r="I32" s="10">
        <f t="shared" si="3"/>
        <v>1456</v>
      </c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2">
        <v>45173.0</v>
      </c>
      <c r="B33" s="13" t="str">
        <f t="shared" si="1"/>
        <v>Monday</v>
      </c>
      <c r="C33" s="13" t="str">
        <f>IF(D33="","",VLOOKUP(D33,Menu!$A$2:$B$105,2,0))</f>
        <v>Burger</v>
      </c>
      <c r="D33" s="13" t="s">
        <v>66</v>
      </c>
      <c r="E33" s="13" t="s">
        <v>5</v>
      </c>
      <c r="F33" s="13">
        <v>8.0</v>
      </c>
      <c r="G33" s="13">
        <f t="array" ref="G33">IF(OR(D33="",E33=""),"",IFERROR(CHOOSE(MATCH(E33,{"S","M","L","-"},0),VLOOKUP(D33,Menu!$A$2:$F$105,3,0),VLOOKUP(D33,Menu!$A$2:$F$105,4,0),VLOOKUP(D33,Menu!$A$2:$F$105,5,0),VLOOKUP(D33,Menu!$A$2:$F$105,6,0)),"N/A"))</f>
        <v>5</v>
      </c>
      <c r="H33" s="13">
        <f t="shared" si="2"/>
        <v>40</v>
      </c>
      <c r="I33" s="13">
        <f t="shared" si="3"/>
        <v>1844</v>
      </c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2">
        <v>45173.0</v>
      </c>
      <c r="B34" s="13" t="str">
        <f t="shared" si="1"/>
        <v>Monday</v>
      </c>
      <c r="C34" s="13" t="str">
        <f>IF(D34="","",VLOOKUP(D34,Menu!$A$2:$B$105,2,0))</f>
        <v>Pizza</v>
      </c>
      <c r="D34" s="13" t="s">
        <v>14</v>
      </c>
      <c r="E34" s="13" t="s">
        <v>3</v>
      </c>
      <c r="F34" s="13">
        <v>1.0</v>
      </c>
      <c r="G34" s="13">
        <f t="array" ref="G34">IF(OR(D34="",E34=""),"",IFERROR(CHOOSE(MATCH(E34,{"S","M","L","-"},0),VLOOKUP(D34,Menu!$A$2:$F$105,3,0),VLOOKUP(D34,Menu!$A$2:$F$105,4,0),VLOOKUP(D34,Menu!$A$2:$F$105,5,0),VLOOKUP(D34,Menu!$A$2:$F$105,6,0)),"N/A"))</f>
        <v>129</v>
      </c>
      <c r="H34" s="13">
        <f t="shared" si="2"/>
        <v>129</v>
      </c>
      <c r="I34" s="13">
        <f t="shared" si="3"/>
        <v>1844</v>
      </c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2">
        <v>45173.0</v>
      </c>
      <c r="B35" s="13" t="str">
        <f t="shared" si="1"/>
        <v>Monday</v>
      </c>
      <c r="C35" s="13" t="str">
        <f>IF(D35="","",VLOOKUP(D35,Menu!$A$2:$B$105,2,0))</f>
        <v>Burger</v>
      </c>
      <c r="D35" s="13" t="s">
        <v>29</v>
      </c>
      <c r="E35" s="13" t="s">
        <v>5</v>
      </c>
      <c r="F35" s="13">
        <v>2.0</v>
      </c>
      <c r="G35" s="13">
        <f t="array" ref="G35">IF(OR(D35="",E35=""),"",IFERROR(CHOOSE(MATCH(E35,{"S","M","L","-"},0),VLOOKUP(D35,Menu!$A$2:$F$105,3,0),VLOOKUP(D35,Menu!$A$2:$F$105,4,0),VLOOKUP(D35,Menu!$A$2:$F$105,5,0),VLOOKUP(D35,Menu!$A$2:$F$105,6,0)),"N/A"))</f>
        <v>59</v>
      </c>
      <c r="H35" s="13">
        <f t="shared" si="2"/>
        <v>118</v>
      </c>
      <c r="I35" s="13">
        <f t="shared" si="3"/>
        <v>1844</v>
      </c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2">
        <v>45173.0</v>
      </c>
      <c r="B36" s="13" t="str">
        <f t="shared" si="1"/>
        <v>Monday</v>
      </c>
      <c r="C36" s="13" t="str">
        <f>IF(D36="","",VLOOKUP(D36,Menu!$A$2:$B$105,2,0))</f>
        <v>Pizza</v>
      </c>
      <c r="D36" s="13" t="s">
        <v>13</v>
      </c>
      <c r="E36" s="13" t="s">
        <v>2</v>
      </c>
      <c r="F36" s="13">
        <v>7.0</v>
      </c>
      <c r="G36" s="13">
        <f t="array" ref="G36">IF(OR(D36="",E36=""),"",IFERROR(CHOOSE(MATCH(E36,{"S","M","L","-"},0),VLOOKUP(D36,Menu!$A$2:$F$105,3,0),VLOOKUP(D36,Menu!$A$2:$F$105,4,0),VLOOKUP(D36,Menu!$A$2:$F$105,5,0),VLOOKUP(D36,Menu!$A$2:$F$105,6,0)),"N/A"))</f>
        <v>79</v>
      </c>
      <c r="H36" s="13">
        <f t="shared" si="2"/>
        <v>553</v>
      </c>
      <c r="I36" s="13">
        <f t="shared" si="3"/>
        <v>1844</v>
      </c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2">
        <v>45173.0</v>
      </c>
      <c r="B37" s="13" t="str">
        <f t="shared" si="1"/>
        <v>Monday</v>
      </c>
      <c r="C37" s="13" t="str">
        <f>IF(D37="","",VLOOKUP(D37,Menu!$A$2:$B$105,2,0))</f>
        <v>Pizza</v>
      </c>
      <c r="D37" s="13" t="s">
        <v>11</v>
      </c>
      <c r="E37" s="13" t="s">
        <v>3</v>
      </c>
      <c r="F37" s="13">
        <v>2.0</v>
      </c>
      <c r="G37" s="13">
        <f t="array" ref="G37">IF(OR(D37="",E37=""),"",IFERROR(CHOOSE(MATCH(E37,{"S","M","L","-"},0),VLOOKUP(D37,Menu!$A$2:$F$105,3,0),VLOOKUP(D37,Menu!$A$2:$F$105,4,0),VLOOKUP(D37,Menu!$A$2:$F$105,5,0),VLOOKUP(D37,Menu!$A$2:$F$105,6,0)),"N/A"))</f>
        <v>109</v>
      </c>
      <c r="H37" s="13">
        <f t="shared" si="2"/>
        <v>218</v>
      </c>
      <c r="I37" s="13">
        <f t="shared" si="3"/>
        <v>1844</v>
      </c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2">
        <v>45173.0</v>
      </c>
      <c r="B38" s="13" t="str">
        <f t="shared" si="1"/>
        <v>Monday</v>
      </c>
      <c r="C38" s="13" t="str">
        <f>IF(D38="","",VLOOKUP(D38,Menu!$A$2:$B$105,2,0))</f>
        <v>Pizza</v>
      </c>
      <c r="D38" s="13" t="s">
        <v>17</v>
      </c>
      <c r="E38" s="13" t="s">
        <v>3</v>
      </c>
      <c r="F38" s="13">
        <v>3.0</v>
      </c>
      <c r="G38" s="13">
        <f t="array" ref="G38">IF(OR(D38="",E38=""),"",IFERROR(CHOOSE(MATCH(E38,{"S","M","L","-"},0),VLOOKUP(D38,Menu!$A$2:$F$105,3,0),VLOOKUP(D38,Menu!$A$2:$F$105,4,0),VLOOKUP(D38,Menu!$A$2:$F$105,5,0),VLOOKUP(D38,Menu!$A$2:$F$105,6,0)),"N/A"))</f>
        <v>199</v>
      </c>
      <c r="H38" s="13">
        <f t="shared" si="2"/>
        <v>597</v>
      </c>
      <c r="I38" s="13">
        <f t="shared" si="3"/>
        <v>1844</v>
      </c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2">
        <v>45173.0</v>
      </c>
      <c r="B39" s="13" t="str">
        <f t="shared" si="1"/>
        <v>Monday</v>
      </c>
      <c r="C39" s="13" t="str">
        <f>IF(D39="","",VLOOKUP(D39,Menu!$A$2:$B$105,2,0))</f>
        <v>Pizza</v>
      </c>
      <c r="D39" s="13" t="s">
        <v>24</v>
      </c>
      <c r="E39" s="13" t="s">
        <v>2</v>
      </c>
      <c r="F39" s="13">
        <v>1.0</v>
      </c>
      <c r="G39" s="13">
        <f t="array" ref="G39">IF(OR(D39="",E39=""),"",IFERROR(CHOOSE(MATCH(E39,{"S","M","L","-"},0),VLOOKUP(D39,Menu!$A$2:$F$105,3,0),VLOOKUP(D39,Menu!$A$2:$F$105,4,0),VLOOKUP(D39,Menu!$A$2:$F$105,5,0),VLOOKUP(D39,Menu!$A$2:$F$105,6,0)),"N/A"))</f>
        <v>149</v>
      </c>
      <c r="H39" s="13">
        <f t="shared" si="2"/>
        <v>149</v>
      </c>
      <c r="I39" s="13">
        <f t="shared" si="3"/>
        <v>1844</v>
      </c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2">
        <v>45173.0</v>
      </c>
      <c r="B40" s="13" t="str">
        <f t="shared" si="1"/>
        <v>Monday</v>
      </c>
      <c r="C40" s="13" t="str">
        <f>IF(D40="","",VLOOKUP(D40,Menu!$A$2:$B$105,2,0))</f>
        <v>Beverage</v>
      </c>
      <c r="D40" s="13" t="s">
        <v>63</v>
      </c>
      <c r="E40" s="13" t="s">
        <v>5</v>
      </c>
      <c r="F40" s="13">
        <v>2.0</v>
      </c>
      <c r="G40" s="13">
        <f t="array" ref="G40">IF(OR(D40="",E40=""),"",IFERROR(CHOOSE(MATCH(E40,{"S","M","L","-"},0),VLOOKUP(D40,Menu!$A$2:$F$105,3,0),VLOOKUP(D40,Menu!$A$2:$F$105,4,0),VLOOKUP(D40,Menu!$A$2:$F$105,5,0),VLOOKUP(D40,Menu!$A$2:$F$105,6,0)),"N/A"))</f>
        <v>20</v>
      </c>
      <c r="H40" s="13">
        <f t="shared" si="2"/>
        <v>40</v>
      </c>
      <c r="I40" s="13">
        <f t="shared" si="3"/>
        <v>1844</v>
      </c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9">
        <v>45174.0</v>
      </c>
      <c r="B41" s="10" t="str">
        <f t="shared" si="1"/>
        <v>Tuesday</v>
      </c>
      <c r="C41" s="10" t="str">
        <f>IF(D41="","",VLOOKUP(D41,Menu!$A$2:$B$105,2,0))</f>
        <v>Pizza</v>
      </c>
      <c r="D41" s="10" t="s">
        <v>24</v>
      </c>
      <c r="E41" s="10" t="s">
        <v>2</v>
      </c>
      <c r="F41" s="10">
        <v>1.0</v>
      </c>
      <c r="G41" s="10">
        <f t="array" ref="G41">IF(OR(D41="",E41=""),"",IFERROR(CHOOSE(MATCH(E41,{"S","M","L","-"},0),VLOOKUP(D41,Menu!$A$2:$F$105,3,0),VLOOKUP(D41,Menu!$A$2:$F$105,4,0),VLOOKUP(D41,Menu!$A$2:$F$105,5,0),VLOOKUP(D41,Menu!$A$2:$F$105,6,0)),"N/A"))</f>
        <v>149</v>
      </c>
      <c r="H41" s="10">
        <f t="shared" si="2"/>
        <v>149</v>
      </c>
      <c r="I41" s="10">
        <f t="shared" si="3"/>
        <v>253</v>
      </c>
      <c r="J41" s="10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9">
        <v>45174.0</v>
      </c>
      <c r="B42" s="10" t="str">
        <f t="shared" si="1"/>
        <v>Tuesday</v>
      </c>
      <c r="C42" s="10" t="str">
        <f>IF(D42="","",VLOOKUP(D42,Menu!$A$2:$B$105,2,0))</f>
        <v>Pizza</v>
      </c>
      <c r="D42" s="10" t="s">
        <v>11</v>
      </c>
      <c r="E42" s="10" t="s">
        <v>2</v>
      </c>
      <c r="F42" s="10">
        <v>1.0</v>
      </c>
      <c r="G42" s="10">
        <f t="array" ref="G42">IF(OR(D42="",E42=""),"",IFERROR(CHOOSE(MATCH(E42,{"S","M","L","-"},0),VLOOKUP(D42,Menu!$A$2:$F$105,3,0),VLOOKUP(D42,Menu!$A$2:$F$105,4,0),VLOOKUP(D42,Menu!$A$2:$F$105,5,0),VLOOKUP(D42,Menu!$A$2:$F$105,6,0)),"N/A"))</f>
        <v>69</v>
      </c>
      <c r="H42" s="10">
        <f t="shared" si="2"/>
        <v>69</v>
      </c>
      <c r="I42" s="10">
        <f t="shared" si="3"/>
        <v>253</v>
      </c>
      <c r="J42" s="10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9">
        <v>45174.0</v>
      </c>
      <c r="B43" s="10" t="str">
        <f t="shared" si="1"/>
        <v>Tuesday</v>
      </c>
      <c r="C43" s="10" t="str">
        <f>IF(D43="","",VLOOKUP(D43,Menu!$A$2:$B$105,2,0))</f>
        <v>Dessert</v>
      </c>
      <c r="D43" s="10" t="s">
        <v>51</v>
      </c>
      <c r="E43" s="10" t="s">
        <v>5</v>
      </c>
      <c r="F43" s="10">
        <v>1.0</v>
      </c>
      <c r="G43" s="10">
        <f t="array" ref="G43">IF(OR(D43="",E43=""),"",IFERROR(CHOOSE(MATCH(E43,{"S","M","L","-"},0),VLOOKUP(D43,Menu!$A$2:$F$105,3,0),VLOOKUP(D43,Menu!$A$2:$F$105,4,0),VLOOKUP(D43,Menu!$A$2:$F$105,5,0),VLOOKUP(D43,Menu!$A$2:$F$105,6,0)),"N/A"))</f>
        <v>35</v>
      </c>
      <c r="H43" s="10">
        <f t="shared" si="2"/>
        <v>35</v>
      </c>
      <c r="I43" s="10">
        <f t="shared" si="3"/>
        <v>253</v>
      </c>
      <c r="J43" s="10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2">
        <v>45175.0</v>
      </c>
      <c r="B44" s="13" t="str">
        <f t="shared" si="1"/>
        <v>Wednesday</v>
      </c>
      <c r="C44" s="13" t="str">
        <f>IF(D44="","",VLOOKUP(D44,Menu!$A$2:$B$105,2,0))</f>
        <v>Burger</v>
      </c>
      <c r="D44" s="13" t="s">
        <v>27</v>
      </c>
      <c r="E44" s="13" t="s">
        <v>5</v>
      </c>
      <c r="F44" s="13">
        <v>1.0</v>
      </c>
      <c r="G44" s="13">
        <f t="array" ref="G44">IF(OR(D44="",E44=""),"",IFERROR(CHOOSE(MATCH(E44,{"S","M","L","-"},0),VLOOKUP(D44,Menu!$A$2:$F$105,3,0),VLOOKUP(D44,Menu!$A$2:$F$105,4,0),VLOOKUP(D44,Menu!$A$2:$F$105,5,0),VLOOKUP(D44,Menu!$A$2:$F$105,6,0)),"N/A"))</f>
        <v>39</v>
      </c>
      <c r="H44" s="13">
        <f t="shared" si="2"/>
        <v>39</v>
      </c>
      <c r="I44" s="13">
        <f t="shared" si="3"/>
        <v>1745</v>
      </c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2">
        <v>45175.0</v>
      </c>
      <c r="B45" s="13" t="str">
        <f t="shared" si="1"/>
        <v>Wednesday</v>
      </c>
      <c r="C45" s="13" t="str">
        <f>IF(D45="","",VLOOKUP(D45,Menu!$A$2:$B$105,2,0))</f>
        <v>Pizza</v>
      </c>
      <c r="D45" s="13" t="s">
        <v>24</v>
      </c>
      <c r="E45" s="13" t="s">
        <v>2</v>
      </c>
      <c r="F45" s="13">
        <v>2.0</v>
      </c>
      <c r="G45" s="13">
        <f t="array" ref="G45">IF(OR(D45="",E45=""),"",IFERROR(CHOOSE(MATCH(E45,{"S","M","L","-"},0),VLOOKUP(D45,Menu!$A$2:$F$105,3,0),VLOOKUP(D45,Menu!$A$2:$F$105,4,0),VLOOKUP(D45,Menu!$A$2:$F$105,5,0),VLOOKUP(D45,Menu!$A$2:$F$105,6,0)),"N/A"))</f>
        <v>149</v>
      </c>
      <c r="H45" s="13">
        <f t="shared" si="2"/>
        <v>298</v>
      </c>
      <c r="I45" s="13">
        <f t="shared" si="3"/>
        <v>1745</v>
      </c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2">
        <v>45175.0</v>
      </c>
      <c r="B46" s="13" t="str">
        <f t="shared" si="1"/>
        <v>Wednesday</v>
      </c>
      <c r="C46" s="13" t="str">
        <f>IF(D46="","",VLOOKUP(D46,Menu!$A$2:$B$105,2,0))</f>
        <v>Dessert</v>
      </c>
      <c r="D46" s="13" t="s">
        <v>51</v>
      </c>
      <c r="E46" s="13" t="s">
        <v>5</v>
      </c>
      <c r="F46" s="13">
        <v>2.0</v>
      </c>
      <c r="G46" s="13">
        <f t="array" ref="G46">IF(OR(D46="",E46=""),"",IFERROR(CHOOSE(MATCH(E46,{"S","M","L","-"},0),VLOOKUP(D46,Menu!$A$2:$F$105,3,0),VLOOKUP(D46,Menu!$A$2:$F$105,4,0),VLOOKUP(D46,Menu!$A$2:$F$105,5,0),VLOOKUP(D46,Menu!$A$2:$F$105,6,0)),"N/A"))</f>
        <v>35</v>
      </c>
      <c r="H46" s="13">
        <f t="shared" si="2"/>
        <v>70</v>
      </c>
      <c r="I46" s="13">
        <f t="shared" si="3"/>
        <v>1745</v>
      </c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2">
        <v>45175.0</v>
      </c>
      <c r="B47" s="13" t="str">
        <f t="shared" si="1"/>
        <v>Wednesday</v>
      </c>
      <c r="C47" s="13" t="str">
        <f>IF(D47="","",VLOOKUP(D47,Menu!$A$2:$B$105,2,0))</f>
        <v>Shake</v>
      </c>
      <c r="D47" s="13" t="s">
        <v>46</v>
      </c>
      <c r="E47" s="13" t="s">
        <v>5</v>
      </c>
      <c r="F47" s="13">
        <v>3.0</v>
      </c>
      <c r="G47" s="13">
        <f t="array" ref="G47">IF(OR(D47="",E47=""),"",IFERROR(CHOOSE(MATCH(E47,{"S","M","L","-"},0),VLOOKUP(D47,Menu!$A$2:$F$105,3,0),VLOOKUP(D47,Menu!$A$2:$F$105,4,0),VLOOKUP(D47,Menu!$A$2:$F$105,5,0),VLOOKUP(D47,Menu!$A$2:$F$105,6,0)),"N/A"))</f>
        <v>50</v>
      </c>
      <c r="H47" s="13">
        <f t="shared" si="2"/>
        <v>150</v>
      </c>
      <c r="I47" s="13">
        <f t="shared" si="3"/>
        <v>1745</v>
      </c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2">
        <v>45175.0</v>
      </c>
      <c r="B48" s="13" t="str">
        <f t="shared" si="1"/>
        <v>Wednesday</v>
      </c>
      <c r="C48" s="13" t="str">
        <f>IF(D48="","",VLOOKUP(D48,Menu!$A$2:$B$105,2,0))</f>
        <v>Burger</v>
      </c>
      <c r="D48" s="13" t="s">
        <v>27</v>
      </c>
      <c r="E48" s="13" t="s">
        <v>5</v>
      </c>
      <c r="F48" s="13">
        <v>1.0</v>
      </c>
      <c r="G48" s="13">
        <f t="array" ref="G48">IF(OR(D48="",E48=""),"",IFERROR(CHOOSE(MATCH(E48,{"S","M","L","-"},0),VLOOKUP(D48,Menu!$A$2:$F$105,3,0),VLOOKUP(D48,Menu!$A$2:$F$105,4,0),VLOOKUP(D48,Menu!$A$2:$F$105,5,0),VLOOKUP(D48,Menu!$A$2:$F$105,6,0)),"N/A"))</f>
        <v>39</v>
      </c>
      <c r="H48" s="13">
        <f t="shared" si="2"/>
        <v>39</v>
      </c>
      <c r="I48" s="13">
        <f t="shared" si="3"/>
        <v>1745</v>
      </c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2">
        <v>45175.0</v>
      </c>
      <c r="B49" s="13" t="str">
        <f t="shared" si="1"/>
        <v>Wednesday</v>
      </c>
      <c r="C49" s="13" t="str">
        <f>IF(D49="","",VLOOKUP(D49,Menu!$A$2:$B$105,2,0))</f>
        <v>Pizza</v>
      </c>
      <c r="D49" s="13" t="s">
        <v>11</v>
      </c>
      <c r="E49" s="13" t="s">
        <v>2</v>
      </c>
      <c r="F49" s="13">
        <v>2.0</v>
      </c>
      <c r="G49" s="13">
        <f t="array" ref="G49">IF(OR(D49="",E49=""),"",IFERROR(CHOOSE(MATCH(E49,{"S","M","L","-"},0),VLOOKUP(D49,Menu!$A$2:$F$105,3,0),VLOOKUP(D49,Menu!$A$2:$F$105,4,0),VLOOKUP(D49,Menu!$A$2:$F$105,5,0),VLOOKUP(D49,Menu!$A$2:$F$105,6,0)),"N/A"))</f>
        <v>69</v>
      </c>
      <c r="H49" s="13">
        <f t="shared" si="2"/>
        <v>138</v>
      </c>
      <c r="I49" s="13">
        <f t="shared" si="3"/>
        <v>1745</v>
      </c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2">
        <v>45175.0</v>
      </c>
      <c r="B50" s="13" t="str">
        <f t="shared" si="1"/>
        <v>Wednesday</v>
      </c>
      <c r="C50" s="13" t="str">
        <f>IF(D50="","",VLOOKUP(D50,Menu!$A$2:$B$105,2,0))</f>
        <v>Pizza</v>
      </c>
      <c r="D50" s="13" t="s">
        <v>16</v>
      </c>
      <c r="E50" s="13" t="s">
        <v>3</v>
      </c>
      <c r="F50" s="13">
        <v>1.0</v>
      </c>
      <c r="G50" s="13">
        <f t="array" ref="G50">IF(OR(D50="",E50=""),"",IFERROR(CHOOSE(MATCH(E50,{"S","M","L","-"},0),VLOOKUP(D50,Menu!$A$2:$F$105,3,0),VLOOKUP(D50,Menu!$A$2:$F$105,4,0),VLOOKUP(D50,Menu!$A$2:$F$105,5,0),VLOOKUP(D50,Menu!$A$2:$F$105,6,0)),"N/A"))</f>
        <v>199</v>
      </c>
      <c r="H50" s="13">
        <f t="shared" si="2"/>
        <v>199</v>
      </c>
      <c r="I50" s="13">
        <f t="shared" si="3"/>
        <v>1745</v>
      </c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2">
        <v>45175.0</v>
      </c>
      <c r="B51" s="13" t="str">
        <f t="shared" si="1"/>
        <v>Wednesday</v>
      </c>
      <c r="C51" s="13" t="str">
        <f>IF(D51="","",VLOOKUP(D51,Menu!$A$2:$B$105,2,0))</f>
        <v>Shake</v>
      </c>
      <c r="D51" s="13" t="s">
        <v>41</v>
      </c>
      <c r="E51" s="13" t="s">
        <v>5</v>
      </c>
      <c r="F51" s="13">
        <v>1.0</v>
      </c>
      <c r="G51" s="13">
        <f t="array" ref="G51">IF(OR(D51="",E51=""),"",IFERROR(CHOOSE(MATCH(E51,{"S","M","L","-"},0),VLOOKUP(D51,Menu!$A$2:$F$105,3,0),VLOOKUP(D51,Menu!$A$2:$F$105,4,0),VLOOKUP(D51,Menu!$A$2:$F$105,5,0),VLOOKUP(D51,Menu!$A$2:$F$105,6,0)),"N/A"))</f>
        <v>70</v>
      </c>
      <c r="H51" s="13">
        <f t="shared" si="2"/>
        <v>70</v>
      </c>
      <c r="I51" s="13">
        <f t="shared" si="3"/>
        <v>1745</v>
      </c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2">
        <v>45175.0</v>
      </c>
      <c r="B52" s="13" t="str">
        <f t="shared" si="1"/>
        <v>Wednesday</v>
      </c>
      <c r="C52" s="13" t="str">
        <f>IF(D52="","",VLOOKUP(D52,Menu!$A$2:$B$105,2,0))</f>
        <v>Pizza</v>
      </c>
      <c r="D52" s="13" t="s">
        <v>8</v>
      </c>
      <c r="E52" s="13" t="s">
        <v>2</v>
      </c>
      <c r="F52" s="13">
        <v>3.0</v>
      </c>
      <c r="G52" s="13">
        <f t="array" ref="G52">IF(OR(D52="",E52=""),"",IFERROR(CHOOSE(MATCH(E52,{"S","M","L","-"},0),VLOOKUP(D52,Menu!$A$2:$F$105,3,0),VLOOKUP(D52,Menu!$A$2:$F$105,4,0),VLOOKUP(D52,Menu!$A$2:$F$105,5,0),VLOOKUP(D52,Menu!$A$2:$F$105,6,0)),"N/A"))</f>
        <v>59</v>
      </c>
      <c r="H52" s="13">
        <f t="shared" si="2"/>
        <v>177</v>
      </c>
      <c r="I52" s="13">
        <f t="shared" si="3"/>
        <v>1745</v>
      </c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2">
        <v>45175.0</v>
      </c>
      <c r="B53" s="13" t="str">
        <f t="shared" si="1"/>
        <v>Wednesday</v>
      </c>
      <c r="C53" s="13" t="str">
        <f>IF(D53="","",VLOOKUP(D53,Menu!$A$2:$B$105,2,0))</f>
        <v>Pizza</v>
      </c>
      <c r="D53" s="13" t="s">
        <v>10</v>
      </c>
      <c r="E53" s="13" t="s">
        <v>2</v>
      </c>
      <c r="F53" s="13">
        <v>2.0</v>
      </c>
      <c r="G53" s="13">
        <f t="array" ref="G53">IF(OR(D53="",E53=""),"",IFERROR(CHOOSE(MATCH(E53,{"S","M","L","-"},0),VLOOKUP(D53,Menu!$A$2:$F$105,3,0),VLOOKUP(D53,Menu!$A$2:$F$105,4,0),VLOOKUP(D53,Menu!$A$2:$F$105,5,0),VLOOKUP(D53,Menu!$A$2:$F$105,6,0)),"N/A"))</f>
        <v>59</v>
      </c>
      <c r="H53" s="13">
        <f t="shared" si="2"/>
        <v>118</v>
      </c>
      <c r="I53" s="13">
        <f t="shared" si="3"/>
        <v>1745</v>
      </c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2">
        <v>45175.0</v>
      </c>
      <c r="B54" s="13" t="str">
        <f t="shared" si="1"/>
        <v>Wednesday</v>
      </c>
      <c r="C54" s="13" t="str">
        <f>IF(D54="","",VLOOKUP(D54,Menu!$A$2:$B$105,2,0))</f>
        <v>Burger</v>
      </c>
      <c r="D54" s="13" t="s">
        <v>27</v>
      </c>
      <c r="E54" s="13" t="s">
        <v>5</v>
      </c>
      <c r="F54" s="13">
        <v>1.0</v>
      </c>
      <c r="G54" s="13">
        <f t="array" ref="G54">IF(OR(D54="",E54=""),"",IFERROR(CHOOSE(MATCH(E54,{"S","M","L","-"},0),VLOOKUP(D54,Menu!$A$2:$F$105,3,0),VLOOKUP(D54,Menu!$A$2:$F$105,4,0),VLOOKUP(D54,Menu!$A$2:$F$105,5,0),VLOOKUP(D54,Menu!$A$2:$F$105,6,0)),"N/A"))</f>
        <v>39</v>
      </c>
      <c r="H54" s="13">
        <f t="shared" si="2"/>
        <v>39</v>
      </c>
      <c r="I54" s="13">
        <f t="shared" si="3"/>
        <v>1745</v>
      </c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2">
        <v>45175.0</v>
      </c>
      <c r="B55" s="13" t="str">
        <f t="shared" si="1"/>
        <v>Wednesday</v>
      </c>
      <c r="C55" s="13" t="str">
        <f>IF(D55="","",VLOOKUP(D55,Menu!$A$2:$B$105,2,0))</f>
        <v>Pizza</v>
      </c>
      <c r="D55" s="13" t="s">
        <v>24</v>
      </c>
      <c r="E55" s="13" t="s">
        <v>3</v>
      </c>
      <c r="F55" s="13">
        <v>1.0</v>
      </c>
      <c r="G55" s="13">
        <f t="array" ref="G55">IF(OR(D55="",E55=""),"",IFERROR(CHOOSE(MATCH(E55,{"S","M","L","-"},0),VLOOKUP(D55,Menu!$A$2:$F$105,3,0),VLOOKUP(D55,Menu!$A$2:$F$105,4,0),VLOOKUP(D55,Menu!$A$2:$F$105,5,0),VLOOKUP(D55,Menu!$A$2:$F$105,6,0)),"N/A"))</f>
        <v>249</v>
      </c>
      <c r="H55" s="13">
        <f t="shared" si="2"/>
        <v>249</v>
      </c>
      <c r="I55" s="13">
        <f t="shared" si="3"/>
        <v>1745</v>
      </c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2">
        <v>45175.0</v>
      </c>
      <c r="B56" s="13" t="str">
        <f t="shared" si="1"/>
        <v>Wednesday</v>
      </c>
      <c r="C56" s="13" t="str">
        <f>IF(D56="","",VLOOKUP(D56,Menu!$A$2:$B$105,2,0))</f>
        <v>Beverage</v>
      </c>
      <c r="D56" s="13" t="s">
        <v>63</v>
      </c>
      <c r="E56" s="13" t="s">
        <v>5</v>
      </c>
      <c r="F56" s="13">
        <v>1.0</v>
      </c>
      <c r="G56" s="13">
        <f t="array" ref="G56">IF(OR(D56="",E56=""),"",IFERROR(CHOOSE(MATCH(E56,{"S","M","L","-"},0),VLOOKUP(D56,Menu!$A$2:$F$105,3,0),VLOOKUP(D56,Menu!$A$2:$F$105,4,0),VLOOKUP(D56,Menu!$A$2:$F$105,5,0),VLOOKUP(D56,Menu!$A$2:$F$105,6,0)),"N/A"))</f>
        <v>20</v>
      </c>
      <c r="H56" s="13">
        <f t="shared" si="2"/>
        <v>20</v>
      </c>
      <c r="I56" s="13">
        <f t="shared" si="3"/>
        <v>1745</v>
      </c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2">
        <v>45175.0</v>
      </c>
      <c r="B57" s="13" t="str">
        <f t="shared" si="1"/>
        <v>Wednesday</v>
      </c>
      <c r="C57" s="13" t="str">
        <f>IF(D57="","",VLOOKUP(D57,Menu!$A$2:$B$105,2,0))</f>
        <v>Pizza</v>
      </c>
      <c r="D57" s="13" t="s">
        <v>21</v>
      </c>
      <c r="E57" s="13" t="s">
        <v>2</v>
      </c>
      <c r="F57" s="13">
        <v>1.0</v>
      </c>
      <c r="G57" s="13">
        <f t="array" ref="G57">IF(OR(D57="",E57=""),"",IFERROR(CHOOSE(MATCH(E57,{"S","M","L","-"},0),VLOOKUP(D57,Menu!$A$2:$F$105,3,0),VLOOKUP(D57,Menu!$A$2:$F$105,4,0),VLOOKUP(D57,Menu!$A$2:$F$105,5,0),VLOOKUP(D57,Menu!$A$2:$F$105,6,0)),"N/A"))</f>
        <v>119</v>
      </c>
      <c r="H57" s="13">
        <f t="shared" si="2"/>
        <v>119</v>
      </c>
      <c r="I57" s="13">
        <f t="shared" si="3"/>
        <v>1745</v>
      </c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2">
        <v>45175.0</v>
      </c>
      <c r="B58" s="13" t="str">
        <f t="shared" si="1"/>
        <v>Wednesday</v>
      </c>
      <c r="C58" s="13" t="str">
        <f>IF(D58="","",VLOOKUP(D58,Menu!$A$2:$B$105,2,0))</f>
        <v>Beverage</v>
      </c>
      <c r="D58" s="13" t="s">
        <v>65</v>
      </c>
      <c r="E58" s="13" t="s">
        <v>5</v>
      </c>
      <c r="F58" s="13">
        <v>1.0</v>
      </c>
      <c r="G58" s="13">
        <f t="array" ref="G58">IF(OR(D58="",E58=""),"",IFERROR(CHOOSE(MATCH(E58,{"S","M","L","-"},0),VLOOKUP(D58,Menu!$A$2:$F$105,3,0),VLOOKUP(D58,Menu!$A$2:$F$105,4,0),VLOOKUP(D58,Menu!$A$2:$F$105,5,0),VLOOKUP(D58,Menu!$A$2:$F$105,6,0)),"N/A"))</f>
        <v>20</v>
      </c>
      <c r="H58" s="13">
        <f t="shared" si="2"/>
        <v>20</v>
      </c>
      <c r="I58" s="13">
        <f t="shared" si="3"/>
        <v>1745</v>
      </c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9">
        <v>45176.0</v>
      </c>
      <c r="B59" s="10" t="str">
        <f t="shared" si="1"/>
        <v>Thursday</v>
      </c>
      <c r="C59" s="10" t="str">
        <f>IF(D59="","",VLOOKUP(D59,Menu!$A$2:$B$105,2,0))</f>
        <v>Burger</v>
      </c>
      <c r="D59" s="10" t="s">
        <v>27</v>
      </c>
      <c r="E59" s="10" t="s">
        <v>5</v>
      </c>
      <c r="F59" s="10">
        <v>1.0</v>
      </c>
      <c r="G59" s="10">
        <f t="array" ref="G59">IF(OR(D59="",E59=""),"",IFERROR(CHOOSE(MATCH(E59,{"S","M","L","-"},0),VLOOKUP(D59,Menu!$A$2:$F$105,3,0),VLOOKUP(D59,Menu!$A$2:$F$105,4,0),VLOOKUP(D59,Menu!$A$2:$F$105,5,0),VLOOKUP(D59,Menu!$A$2:$F$105,6,0)),"N/A"))</f>
        <v>39</v>
      </c>
      <c r="H59" s="10">
        <f t="shared" si="2"/>
        <v>39</v>
      </c>
      <c r="I59" s="10">
        <f t="shared" si="3"/>
        <v>528</v>
      </c>
      <c r="J59" s="10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9">
        <v>45176.0</v>
      </c>
      <c r="B60" s="10" t="str">
        <f t="shared" si="1"/>
        <v>Thursday</v>
      </c>
      <c r="C60" s="10" t="str">
        <f>IF(D60="","",VLOOKUP(D60,Menu!$A$2:$B$105,2,0))</f>
        <v>Pizza</v>
      </c>
      <c r="D60" s="10" t="s">
        <v>10</v>
      </c>
      <c r="E60" s="10" t="s">
        <v>2</v>
      </c>
      <c r="F60" s="10">
        <v>1.0</v>
      </c>
      <c r="G60" s="10">
        <f t="array" ref="G60">IF(OR(D60="",E60=""),"",IFERROR(CHOOSE(MATCH(E60,{"S","M","L","-"},0),VLOOKUP(D60,Menu!$A$2:$F$105,3,0),VLOOKUP(D60,Menu!$A$2:$F$105,4,0),VLOOKUP(D60,Menu!$A$2:$F$105,5,0),VLOOKUP(D60,Menu!$A$2:$F$105,6,0)),"N/A"))</f>
        <v>59</v>
      </c>
      <c r="H60" s="10">
        <f t="shared" si="2"/>
        <v>59</v>
      </c>
      <c r="I60" s="10">
        <f t="shared" si="3"/>
        <v>528</v>
      </c>
      <c r="J60" s="10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9">
        <v>45176.0</v>
      </c>
      <c r="B61" s="10" t="str">
        <f t="shared" si="1"/>
        <v>Thursday</v>
      </c>
      <c r="C61" s="10" t="str">
        <f>IF(D61="","",VLOOKUP(D61,Menu!$A$2:$B$105,2,0))</f>
        <v>Pizza</v>
      </c>
      <c r="D61" s="10" t="s">
        <v>17</v>
      </c>
      <c r="E61" s="10" t="s">
        <v>2</v>
      </c>
      <c r="F61" s="10">
        <v>1.0</v>
      </c>
      <c r="G61" s="10">
        <f t="array" ref="G61">IF(OR(D61="",E61=""),"",IFERROR(CHOOSE(MATCH(E61,{"S","M","L","-"},0),VLOOKUP(D61,Menu!$A$2:$F$105,3,0),VLOOKUP(D61,Menu!$A$2:$F$105,4,0),VLOOKUP(D61,Menu!$A$2:$F$105,5,0),VLOOKUP(D61,Menu!$A$2:$F$105,6,0)),"N/A"))</f>
        <v>109</v>
      </c>
      <c r="H61" s="10">
        <f t="shared" si="2"/>
        <v>109</v>
      </c>
      <c r="I61" s="10">
        <f t="shared" si="3"/>
        <v>528</v>
      </c>
      <c r="J61" s="10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9">
        <v>45176.0</v>
      </c>
      <c r="B62" s="10" t="str">
        <f t="shared" si="1"/>
        <v>Thursday</v>
      </c>
      <c r="C62" s="10" t="str">
        <f>IF(D62="","",VLOOKUP(D62,Menu!$A$2:$B$105,2,0))</f>
        <v>Pizza</v>
      </c>
      <c r="D62" s="10" t="s">
        <v>26</v>
      </c>
      <c r="E62" s="10" t="s">
        <v>5</v>
      </c>
      <c r="F62" s="10">
        <v>2.0</v>
      </c>
      <c r="G62" s="10">
        <f t="array" ref="G62">IF(OR(D62="",E62=""),"",IFERROR(CHOOSE(MATCH(E62,{"S","M","L","-"},0),VLOOKUP(D62,Menu!$A$2:$F$105,3,0),VLOOKUP(D62,Menu!$A$2:$F$105,4,0),VLOOKUP(D62,Menu!$A$2:$F$105,5,0),VLOOKUP(D62,Menu!$A$2:$F$105,6,0)),"N/A"))</f>
        <v>99</v>
      </c>
      <c r="H62" s="10">
        <f t="shared" si="2"/>
        <v>198</v>
      </c>
      <c r="I62" s="10">
        <f t="shared" si="3"/>
        <v>528</v>
      </c>
      <c r="J62" s="10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9">
        <v>45176.0</v>
      </c>
      <c r="B63" s="10" t="str">
        <f t="shared" si="1"/>
        <v>Thursday</v>
      </c>
      <c r="C63" s="10" t="str">
        <f>IF(D63="","",VLOOKUP(D63,Menu!$A$2:$B$105,2,0))</f>
        <v>Pizza</v>
      </c>
      <c r="D63" s="10" t="s">
        <v>10</v>
      </c>
      <c r="E63" s="10" t="s">
        <v>2</v>
      </c>
      <c r="F63" s="10">
        <v>2.0</v>
      </c>
      <c r="G63" s="10">
        <f t="array" ref="G63">IF(OR(D63="",E63=""),"",IFERROR(CHOOSE(MATCH(E63,{"S","M","L","-"},0),VLOOKUP(D63,Menu!$A$2:$F$105,3,0),VLOOKUP(D63,Menu!$A$2:$F$105,4,0),VLOOKUP(D63,Menu!$A$2:$F$105,5,0),VLOOKUP(D63,Menu!$A$2:$F$105,6,0)),"N/A"))</f>
        <v>59</v>
      </c>
      <c r="H63" s="10">
        <f t="shared" si="2"/>
        <v>118</v>
      </c>
      <c r="I63" s="10">
        <f t="shared" si="3"/>
        <v>528</v>
      </c>
      <c r="J63" s="1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9">
        <v>45176.0</v>
      </c>
      <c r="B64" s="10" t="str">
        <f t="shared" si="1"/>
        <v>Thursday</v>
      </c>
      <c r="C64" s="10" t="str">
        <f>IF(D64="","",VLOOKUP(D64,Menu!$A$2:$B$105,2,0))</f>
        <v>Burger</v>
      </c>
      <c r="D64" s="10" t="s">
        <v>66</v>
      </c>
      <c r="E64" s="10" t="s">
        <v>5</v>
      </c>
      <c r="F64" s="10">
        <v>1.0</v>
      </c>
      <c r="G64" s="10">
        <f t="array" ref="G64">IF(OR(D64="",E64=""),"",IFERROR(CHOOSE(MATCH(E64,{"S","M","L","-"},0),VLOOKUP(D64,Menu!$A$2:$F$105,3,0),VLOOKUP(D64,Menu!$A$2:$F$105,4,0),VLOOKUP(D64,Menu!$A$2:$F$105,5,0),VLOOKUP(D64,Menu!$A$2:$F$105,6,0)),"N/A"))</f>
        <v>5</v>
      </c>
      <c r="H64" s="10">
        <f t="shared" si="2"/>
        <v>5</v>
      </c>
      <c r="I64" s="10">
        <f t="shared" si="3"/>
        <v>528</v>
      </c>
      <c r="J64" s="1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2">
        <v>45177.0</v>
      </c>
      <c r="B65" s="13" t="str">
        <f t="shared" si="1"/>
        <v>Friday</v>
      </c>
      <c r="C65" s="13" t="str">
        <f>IF(D65="","",VLOOKUP(D65,Menu!$A$2:$B$105,2,0))</f>
        <v>Pizza</v>
      </c>
      <c r="D65" s="13" t="s">
        <v>8</v>
      </c>
      <c r="E65" s="13" t="s">
        <v>2</v>
      </c>
      <c r="F65" s="13">
        <v>2.0</v>
      </c>
      <c r="G65" s="13">
        <f t="array" ref="G65">IF(OR(D65="",E65=""),"",IFERROR(CHOOSE(MATCH(E65,{"S","M","L","-"},0),VLOOKUP(D65,Menu!$A$2:$F$105,3,0),VLOOKUP(D65,Menu!$A$2:$F$105,4,0),VLOOKUP(D65,Menu!$A$2:$F$105,5,0),VLOOKUP(D65,Menu!$A$2:$F$105,6,0)),"N/A"))</f>
        <v>59</v>
      </c>
      <c r="H65" s="13">
        <f t="shared" si="2"/>
        <v>118</v>
      </c>
      <c r="I65" s="13">
        <f t="shared" si="3"/>
        <v>1033</v>
      </c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2">
        <v>45177.0</v>
      </c>
      <c r="B66" s="13" t="str">
        <f t="shared" si="1"/>
        <v>Friday</v>
      </c>
      <c r="C66" s="13" t="str">
        <f>IF(D66="","",VLOOKUP(D66,Menu!$A$2:$B$105,2,0))</f>
        <v>Beverage</v>
      </c>
      <c r="D66" s="13" t="s">
        <v>63</v>
      </c>
      <c r="E66" s="13" t="s">
        <v>5</v>
      </c>
      <c r="F66" s="13">
        <v>6.0</v>
      </c>
      <c r="G66" s="13">
        <f t="array" ref="G66">IF(OR(D66="",E66=""),"",IFERROR(CHOOSE(MATCH(E66,{"S","M","L","-"},0),VLOOKUP(D66,Menu!$A$2:$F$105,3,0),VLOOKUP(D66,Menu!$A$2:$F$105,4,0),VLOOKUP(D66,Menu!$A$2:$F$105,5,0),VLOOKUP(D66,Menu!$A$2:$F$105,6,0)),"N/A"))</f>
        <v>20</v>
      </c>
      <c r="H66" s="13">
        <f t="shared" si="2"/>
        <v>120</v>
      </c>
      <c r="I66" s="13">
        <f t="shared" si="3"/>
        <v>1033</v>
      </c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2">
        <v>45177.0</v>
      </c>
      <c r="B67" s="13" t="str">
        <f t="shared" si="1"/>
        <v>Friday</v>
      </c>
      <c r="C67" s="13" t="str">
        <f>IF(D67="","",VLOOKUP(D67,Menu!$A$2:$B$105,2,0))</f>
        <v>Shake</v>
      </c>
      <c r="D67" s="13" t="s">
        <v>42</v>
      </c>
      <c r="E67" s="13" t="s">
        <v>5</v>
      </c>
      <c r="F67" s="13">
        <v>1.0</v>
      </c>
      <c r="G67" s="13">
        <f t="array" ref="G67">IF(OR(D67="",E67=""),"",IFERROR(CHOOSE(MATCH(E67,{"S","M","L","-"},0),VLOOKUP(D67,Menu!$A$2:$F$105,3,0),VLOOKUP(D67,Menu!$A$2:$F$105,4,0),VLOOKUP(D67,Menu!$A$2:$F$105,5,0),VLOOKUP(D67,Menu!$A$2:$F$105,6,0)),"N/A"))</f>
        <v>60</v>
      </c>
      <c r="H67" s="13">
        <f t="shared" si="2"/>
        <v>60</v>
      </c>
      <c r="I67" s="13">
        <f t="shared" si="3"/>
        <v>1033</v>
      </c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2">
        <v>45177.0</v>
      </c>
      <c r="B68" s="13" t="str">
        <f t="shared" si="1"/>
        <v>Friday</v>
      </c>
      <c r="C68" s="13" t="str">
        <f>IF(D68="","",VLOOKUP(D68,Menu!$A$2:$B$105,2,0))</f>
        <v>Shake</v>
      </c>
      <c r="D68" s="13" t="s">
        <v>41</v>
      </c>
      <c r="E68" s="13" t="s">
        <v>5</v>
      </c>
      <c r="F68" s="13">
        <v>1.0</v>
      </c>
      <c r="G68" s="13">
        <f t="array" ref="G68">IF(OR(D68="",E68=""),"",IFERROR(CHOOSE(MATCH(E68,{"S","M","L","-"},0),VLOOKUP(D68,Menu!$A$2:$F$105,3,0),VLOOKUP(D68,Menu!$A$2:$F$105,4,0),VLOOKUP(D68,Menu!$A$2:$F$105,5,0),VLOOKUP(D68,Menu!$A$2:$F$105,6,0)),"N/A"))</f>
        <v>70</v>
      </c>
      <c r="H68" s="13">
        <f t="shared" si="2"/>
        <v>70</v>
      </c>
      <c r="I68" s="13">
        <f t="shared" si="3"/>
        <v>1033</v>
      </c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2">
        <v>45177.0</v>
      </c>
      <c r="B69" s="13" t="str">
        <f t="shared" si="1"/>
        <v>Friday</v>
      </c>
      <c r="C69" s="13" t="str">
        <f>IF(D69="","",VLOOKUP(D69,Menu!$A$2:$B$105,2,0))</f>
        <v>Pizza</v>
      </c>
      <c r="D69" s="13" t="s">
        <v>21</v>
      </c>
      <c r="E69" s="13" t="s">
        <v>3</v>
      </c>
      <c r="F69" s="13">
        <v>1.0</v>
      </c>
      <c r="G69" s="13">
        <f t="array" ref="G69">IF(OR(D69="",E69=""),"",IFERROR(CHOOSE(MATCH(E69,{"S","M","L","-"},0),VLOOKUP(D69,Menu!$A$2:$F$105,3,0),VLOOKUP(D69,Menu!$A$2:$F$105,4,0),VLOOKUP(D69,Menu!$A$2:$F$105,5,0),VLOOKUP(D69,Menu!$A$2:$F$105,6,0)),"N/A"))</f>
        <v>209</v>
      </c>
      <c r="H69" s="13">
        <f t="shared" si="2"/>
        <v>209</v>
      </c>
      <c r="I69" s="13">
        <f t="shared" si="3"/>
        <v>1033</v>
      </c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2">
        <v>45177.0</v>
      </c>
      <c r="B70" s="13" t="str">
        <f t="shared" si="1"/>
        <v>Friday</v>
      </c>
      <c r="C70" s="13" t="str">
        <f>IF(D70="","",VLOOKUP(D70,Menu!$A$2:$B$105,2,0))</f>
        <v>Pizza</v>
      </c>
      <c r="D70" s="13" t="s">
        <v>6</v>
      </c>
      <c r="E70" s="13" t="s">
        <v>2</v>
      </c>
      <c r="F70" s="13">
        <v>1.0</v>
      </c>
      <c r="G70" s="13">
        <f t="array" ref="G70">IF(OR(D70="",E70=""),"",IFERROR(CHOOSE(MATCH(E70,{"S","M","L","-"},0),VLOOKUP(D70,Menu!$A$2:$F$105,3,0),VLOOKUP(D70,Menu!$A$2:$F$105,4,0),VLOOKUP(D70,Menu!$A$2:$F$105,5,0),VLOOKUP(D70,Menu!$A$2:$F$105,6,0)),"N/A"))</f>
        <v>49</v>
      </c>
      <c r="H70" s="13">
        <f t="shared" si="2"/>
        <v>49</v>
      </c>
      <c r="I70" s="13">
        <f t="shared" si="3"/>
        <v>1033</v>
      </c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2">
        <v>45177.0</v>
      </c>
      <c r="B71" s="13" t="str">
        <f t="shared" si="1"/>
        <v>Friday</v>
      </c>
      <c r="C71" s="13" t="str">
        <f>IF(D71="","",VLOOKUP(D71,Menu!$A$2:$B$105,2,0))</f>
        <v>Pizza</v>
      </c>
      <c r="D71" s="13" t="s">
        <v>8</v>
      </c>
      <c r="E71" s="13" t="s">
        <v>2</v>
      </c>
      <c r="F71" s="13">
        <v>1.0</v>
      </c>
      <c r="G71" s="13">
        <f t="array" ref="G71">IF(OR(D71="",E71=""),"",IFERROR(CHOOSE(MATCH(E71,{"S","M","L","-"},0),VLOOKUP(D71,Menu!$A$2:$F$105,3,0),VLOOKUP(D71,Menu!$A$2:$F$105,4,0),VLOOKUP(D71,Menu!$A$2:$F$105,5,0),VLOOKUP(D71,Menu!$A$2:$F$105,6,0)),"N/A"))</f>
        <v>59</v>
      </c>
      <c r="H71" s="13">
        <f t="shared" si="2"/>
        <v>59</v>
      </c>
      <c r="I71" s="13">
        <f t="shared" si="3"/>
        <v>1033</v>
      </c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2">
        <v>45177.0</v>
      </c>
      <c r="B72" s="13" t="str">
        <f t="shared" si="1"/>
        <v>Friday</v>
      </c>
      <c r="C72" s="13" t="str">
        <f>IF(D72="","",VLOOKUP(D72,Menu!$A$2:$B$105,2,0))</f>
        <v>Burger</v>
      </c>
      <c r="D72" s="13" t="s">
        <v>29</v>
      </c>
      <c r="E72" s="13" t="s">
        <v>5</v>
      </c>
      <c r="F72" s="13">
        <v>2.0</v>
      </c>
      <c r="G72" s="13">
        <f t="array" ref="G72">IF(OR(D72="",E72=""),"",IFERROR(CHOOSE(MATCH(E72,{"S","M","L","-"},0),VLOOKUP(D72,Menu!$A$2:$F$105,3,0),VLOOKUP(D72,Menu!$A$2:$F$105,4,0),VLOOKUP(D72,Menu!$A$2:$F$105,5,0),VLOOKUP(D72,Menu!$A$2:$F$105,6,0)),"N/A"))</f>
        <v>59</v>
      </c>
      <c r="H72" s="13">
        <f t="shared" si="2"/>
        <v>118</v>
      </c>
      <c r="I72" s="13">
        <f t="shared" si="3"/>
        <v>1033</v>
      </c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2">
        <v>45177.0</v>
      </c>
      <c r="B73" s="13" t="str">
        <f t="shared" si="1"/>
        <v>Friday</v>
      </c>
      <c r="C73" s="13" t="str">
        <f>IF(D73="","",VLOOKUP(D73,Menu!$A$2:$B$105,2,0))</f>
        <v>Pizza</v>
      </c>
      <c r="D73" s="13" t="s">
        <v>22</v>
      </c>
      <c r="E73" s="13" t="s">
        <v>3</v>
      </c>
      <c r="F73" s="13">
        <v>1.0</v>
      </c>
      <c r="G73" s="13">
        <f t="array" ref="G73">IF(OR(D73="",E73=""),"",IFERROR(CHOOSE(MATCH(E73,{"S","M","L","-"},0),VLOOKUP(D73,Menu!$A$2:$F$105,3,0),VLOOKUP(D73,Menu!$A$2:$F$105,4,0),VLOOKUP(D73,Menu!$A$2:$F$105,5,0),VLOOKUP(D73,Menu!$A$2:$F$105,6,0)),"N/A"))</f>
        <v>230</v>
      </c>
      <c r="H73" s="13">
        <f t="shared" si="2"/>
        <v>230</v>
      </c>
      <c r="I73" s="13">
        <f t="shared" si="3"/>
        <v>1033</v>
      </c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9">
        <v>45178.0</v>
      </c>
      <c r="B74" s="10" t="str">
        <f t="shared" si="1"/>
        <v>Saturday</v>
      </c>
      <c r="C74" s="10" t="str">
        <f>IF(D74="","",VLOOKUP(D74,Menu!$A$2:$B$105,2,0))</f>
        <v>Beverage</v>
      </c>
      <c r="D74" s="10" t="s">
        <v>63</v>
      </c>
      <c r="E74" s="10" t="s">
        <v>5</v>
      </c>
      <c r="F74" s="10">
        <v>3.0</v>
      </c>
      <c r="G74" s="10">
        <f t="array" ref="G74">IF(OR(D74="",E74=""),"",IFERROR(CHOOSE(MATCH(E74,{"S","M","L","-"},0),VLOOKUP(D74,Menu!$A$2:$F$105,3,0),VLOOKUP(D74,Menu!$A$2:$F$105,4,0),VLOOKUP(D74,Menu!$A$2:$F$105,5,0),VLOOKUP(D74,Menu!$A$2:$F$105,6,0)),"N/A"))</f>
        <v>20</v>
      </c>
      <c r="H74" s="10">
        <f t="shared" si="2"/>
        <v>60</v>
      </c>
      <c r="I74" s="10">
        <f t="shared" si="3"/>
        <v>882</v>
      </c>
      <c r="J74" s="10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9">
        <v>45178.0</v>
      </c>
      <c r="B75" s="10" t="str">
        <f t="shared" si="1"/>
        <v>Saturday</v>
      </c>
      <c r="C75" s="10" t="str">
        <f>IF(D75="","",VLOOKUP(D75,Menu!$A$2:$B$105,2,0))</f>
        <v>Pizza</v>
      </c>
      <c r="D75" s="10" t="s">
        <v>26</v>
      </c>
      <c r="E75" s="10" t="s">
        <v>5</v>
      </c>
      <c r="F75" s="10">
        <v>1.0</v>
      </c>
      <c r="G75" s="10">
        <f t="array" ref="G75">IF(OR(D75="",E75=""),"",IFERROR(CHOOSE(MATCH(E75,{"S","M","L","-"},0),VLOOKUP(D75,Menu!$A$2:$F$105,3,0),VLOOKUP(D75,Menu!$A$2:$F$105,4,0),VLOOKUP(D75,Menu!$A$2:$F$105,5,0),VLOOKUP(D75,Menu!$A$2:$F$105,6,0)),"N/A"))</f>
        <v>99</v>
      </c>
      <c r="H75" s="10">
        <f t="shared" si="2"/>
        <v>99</v>
      </c>
      <c r="I75" s="10">
        <f t="shared" si="3"/>
        <v>882</v>
      </c>
      <c r="J75" s="10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9">
        <v>45178.0</v>
      </c>
      <c r="B76" s="10" t="str">
        <f t="shared" si="1"/>
        <v>Saturday</v>
      </c>
      <c r="C76" s="10" t="str">
        <f>IF(D76="","",VLOOKUP(D76,Menu!$A$2:$B$105,2,0))</f>
        <v>Dessert</v>
      </c>
      <c r="D76" s="10" t="s">
        <v>53</v>
      </c>
      <c r="E76" s="10" t="s">
        <v>5</v>
      </c>
      <c r="F76" s="10">
        <v>1.0</v>
      </c>
      <c r="G76" s="10">
        <f t="array" ref="G76">IF(OR(D76="",E76=""),"",IFERROR(CHOOSE(MATCH(E76,{"S","M","L","-"},0),VLOOKUP(D76,Menu!$A$2:$F$105,3,0),VLOOKUP(D76,Menu!$A$2:$F$105,4,0),VLOOKUP(D76,Menu!$A$2:$F$105,5,0),VLOOKUP(D76,Menu!$A$2:$F$105,6,0)),"N/A"))</f>
        <v>30</v>
      </c>
      <c r="H76" s="10">
        <f t="shared" si="2"/>
        <v>30</v>
      </c>
      <c r="I76" s="10">
        <f t="shared" si="3"/>
        <v>882</v>
      </c>
      <c r="J76" s="10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">
        <v>45178.0</v>
      </c>
      <c r="B77" s="10" t="str">
        <f t="shared" si="1"/>
        <v>Saturday</v>
      </c>
      <c r="C77" s="10" t="str">
        <f>IF(D77="","",VLOOKUP(D77,Menu!$A$2:$B$105,2,0))</f>
        <v>Pizza</v>
      </c>
      <c r="D77" s="10" t="s">
        <v>15</v>
      </c>
      <c r="E77" s="10" t="s">
        <v>4</v>
      </c>
      <c r="F77" s="10">
        <v>1.0</v>
      </c>
      <c r="G77" s="10">
        <f t="array" ref="G77">IF(OR(D77="",E77=""),"",IFERROR(CHOOSE(MATCH(E77,{"S","M","L","-"},0),VLOOKUP(D77,Menu!$A$2:$F$105,3,0),VLOOKUP(D77,Menu!$A$2:$F$105,4,0),VLOOKUP(D77,Menu!$A$2:$F$105,5,0),VLOOKUP(D77,Menu!$A$2:$F$105,6,0)),"N/A"))</f>
        <v>249</v>
      </c>
      <c r="H77" s="10">
        <f t="shared" si="2"/>
        <v>249</v>
      </c>
      <c r="I77" s="10">
        <f t="shared" si="3"/>
        <v>882</v>
      </c>
      <c r="J77" s="10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">
        <v>45178.0</v>
      </c>
      <c r="B78" s="10" t="str">
        <f t="shared" si="1"/>
        <v>Saturday</v>
      </c>
      <c r="C78" s="10" t="str">
        <f>IF(D78="","",VLOOKUP(D78,Menu!$A$2:$B$105,2,0))</f>
        <v>Burger</v>
      </c>
      <c r="D78" s="10" t="s">
        <v>27</v>
      </c>
      <c r="E78" s="10" t="s">
        <v>5</v>
      </c>
      <c r="F78" s="10">
        <v>2.0</v>
      </c>
      <c r="G78" s="10">
        <f t="array" ref="G78">IF(OR(D78="",E78=""),"",IFERROR(CHOOSE(MATCH(E78,{"S","M","L","-"},0),VLOOKUP(D78,Menu!$A$2:$F$105,3,0),VLOOKUP(D78,Menu!$A$2:$F$105,4,0),VLOOKUP(D78,Menu!$A$2:$F$105,5,0),VLOOKUP(D78,Menu!$A$2:$F$105,6,0)),"N/A"))</f>
        <v>39</v>
      </c>
      <c r="H78" s="10">
        <f t="shared" si="2"/>
        <v>78</v>
      </c>
      <c r="I78" s="10">
        <f t="shared" si="3"/>
        <v>882</v>
      </c>
      <c r="J78" s="10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">
        <v>45178.0</v>
      </c>
      <c r="B79" s="10" t="str">
        <f t="shared" si="1"/>
        <v>Saturday</v>
      </c>
      <c r="C79" s="10" t="str">
        <f>IF(D79="","",VLOOKUP(D79,Menu!$A$2:$B$105,2,0))</f>
        <v>Burger</v>
      </c>
      <c r="D79" s="10" t="s">
        <v>66</v>
      </c>
      <c r="E79" s="10" t="s">
        <v>5</v>
      </c>
      <c r="F79" s="10">
        <v>2.0</v>
      </c>
      <c r="G79" s="10">
        <f t="array" ref="G79">IF(OR(D79="",E79=""),"",IFERROR(CHOOSE(MATCH(E79,{"S","M","L","-"},0),VLOOKUP(D79,Menu!$A$2:$F$105,3,0),VLOOKUP(D79,Menu!$A$2:$F$105,4,0),VLOOKUP(D79,Menu!$A$2:$F$105,5,0),VLOOKUP(D79,Menu!$A$2:$F$105,6,0)),"N/A"))</f>
        <v>5</v>
      </c>
      <c r="H79" s="10">
        <f t="shared" si="2"/>
        <v>10</v>
      </c>
      <c r="I79" s="10">
        <f t="shared" si="3"/>
        <v>882</v>
      </c>
      <c r="J79" s="10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">
        <v>45178.0</v>
      </c>
      <c r="B80" s="10" t="str">
        <f t="shared" si="1"/>
        <v>Saturday</v>
      </c>
      <c r="C80" s="10" t="str">
        <f>IF(D80="","",VLOOKUP(D80,Menu!$A$2:$B$105,2,0))</f>
        <v>Pizza</v>
      </c>
      <c r="D80" s="10" t="s">
        <v>11</v>
      </c>
      <c r="E80" s="10" t="s">
        <v>3</v>
      </c>
      <c r="F80" s="10">
        <v>1.0</v>
      </c>
      <c r="G80" s="10">
        <f t="array" ref="G80">IF(OR(D80="",E80=""),"",IFERROR(CHOOSE(MATCH(E80,{"S","M","L","-"},0),VLOOKUP(D80,Menu!$A$2:$F$105,3,0),VLOOKUP(D80,Menu!$A$2:$F$105,4,0),VLOOKUP(D80,Menu!$A$2:$F$105,5,0),VLOOKUP(D80,Menu!$A$2:$F$105,6,0)),"N/A"))</f>
        <v>109</v>
      </c>
      <c r="H80" s="10">
        <f t="shared" si="2"/>
        <v>109</v>
      </c>
      <c r="I80" s="10">
        <f t="shared" si="3"/>
        <v>882</v>
      </c>
      <c r="J80" s="10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">
        <v>45178.0</v>
      </c>
      <c r="B81" s="10" t="str">
        <f t="shared" si="1"/>
        <v>Saturday</v>
      </c>
      <c r="C81" s="10" t="str">
        <f>IF(D81="","",VLOOKUP(D81,Menu!$A$2:$B$105,2,0))</f>
        <v>Pizza</v>
      </c>
      <c r="D81" s="10" t="s">
        <v>14</v>
      </c>
      <c r="E81" s="10" t="s">
        <v>3</v>
      </c>
      <c r="F81" s="10">
        <v>1.0</v>
      </c>
      <c r="G81" s="10">
        <f t="array" ref="G81">IF(OR(D81="",E81=""),"",IFERROR(CHOOSE(MATCH(E81,{"S","M","L","-"},0),VLOOKUP(D81,Menu!$A$2:$F$105,3,0),VLOOKUP(D81,Menu!$A$2:$F$105,4,0),VLOOKUP(D81,Menu!$A$2:$F$105,5,0),VLOOKUP(D81,Menu!$A$2:$F$105,6,0)),"N/A"))</f>
        <v>129</v>
      </c>
      <c r="H81" s="10">
        <f t="shared" si="2"/>
        <v>129</v>
      </c>
      <c r="I81" s="10">
        <f t="shared" si="3"/>
        <v>882</v>
      </c>
      <c r="J81" s="10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">
        <v>45178.0</v>
      </c>
      <c r="B82" s="10" t="str">
        <f t="shared" si="1"/>
        <v>Saturday</v>
      </c>
      <c r="C82" s="10" t="str">
        <f>IF(D82="","",VLOOKUP(D82,Menu!$A$2:$B$105,2,0))</f>
        <v>Pizza</v>
      </c>
      <c r="D82" s="10" t="s">
        <v>8</v>
      </c>
      <c r="E82" s="10" t="s">
        <v>2</v>
      </c>
      <c r="F82" s="10">
        <v>2.0</v>
      </c>
      <c r="G82" s="10">
        <f t="array" ref="G82">IF(OR(D82="",E82=""),"",IFERROR(CHOOSE(MATCH(E82,{"S","M","L","-"},0),VLOOKUP(D82,Menu!$A$2:$F$105,3,0),VLOOKUP(D82,Menu!$A$2:$F$105,4,0),VLOOKUP(D82,Menu!$A$2:$F$105,5,0),VLOOKUP(D82,Menu!$A$2:$F$105,6,0)),"N/A"))</f>
        <v>59</v>
      </c>
      <c r="H82" s="10">
        <f t="shared" si="2"/>
        <v>118</v>
      </c>
      <c r="I82" s="10">
        <f t="shared" si="3"/>
        <v>882</v>
      </c>
      <c r="J82" s="10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2">
        <v>45179.0</v>
      </c>
      <c r="B83" s="13" t="str">
        <f t="shared" si="1"/>
        <v>Sunday</v>
      </c>
      <c r="C83" s="13" t="str">
        <f>IF(D83="","",VLOOKUP(D83,Menu!$A$2:$B$105,2,0))</f>
        <v>Beverage</v>
      </c>
      <c r="D83" s="13" t="s">
        <v>63</v>
      </c>
      <c r="E83" s="13" t="s">
        <v>5</v>
      </c>
      <c r="F83" s="13">
        <v>2.0</v>
      </c>
      <c r="G83" s="13">
        <f t="array" ref="G83">IF(OR(D83="",E83=""),"",IFERROR(CHOOSE(MATCH(E83,{"S","M","L","-"},0),VLOOKUP(D83,Menu!$A$2:$F$105,3,0),VLOOKUP(D83,Menu!$A$2:$F$105,4,0),VLOOKUP(D83,Menu!$A$2:$F$105,5,0),VLOOKUP(D83,Menu!$A$2:$F$105,6,0)),"N/A"))</f>
        <v>20</v>
      </c>
      <c r="H83" s="13">
        <f t="shared" si="2"/>
        <v>40</v>
      </c>
      <c r="I83" s="13">
        <f t="shared" si="3"/>
        <v>1024</v>
      </c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2">
        <v>45179.0</v>
      </c>
      <c r="B84" s="13" t="str">
        <f t="shared" si="1"/>
        <v>Sunday</v>
      </c>
      <c r="C84" s="13" t="str">
        <f>IF(D84="","",VLOOKUP(D84,Menu!$A$2:$B$105,2,0))</f>
        <v>Pizza</v>
      </c>
      <c r="D84" s="13" t="s">
        <v>24</v>
      </c>
      <c r="E84" s="13" t="s">
        <v>2</v>
      </c>
      <c r="F84" s="13">
        <v>1.0</v>
      </c>
      <c r="G84" s="13">
        <f t="array" ref="G84">IF(OR(D84="",E84=""),"",IFERROR(CHOOSE(MATCH(E84,{"S","M","L","-"},0),VLOOKUP(D84,Menu!$A$2:$F$105,3,0),VLOOKUP(D84,Menu!$A$2:$F$105,4,0),VLOOKUP(D84,Menu!$A$2:$F$105,5,0),VLOOKUP(D84,Menu!$A$2:$F$105,6,0)),"N/A"))</f>
        <v>149</v>
      </c>
      <c r="H84" s="13">
        <f t="shared" si="2"/>
        <v>149</v>
      </c>
      <c r="I84" s="13">
        <f t="shared" si="3"/>
        <v>1024</v>
      </c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2">
        <v>45179.0</v>
      </c>
      <c r="B85" s="13" t="str">
        <f t="shared" si="1"/>
        <v>Sunday</v>
      </c>
      <c r="C85" s="13" t="str">
        <f>IF(D85="","",VLOOKUP(D85,Menu!$A$2:$B$105,2,0))</f>
        <v>Dessert</v>
      </c>
      <c r="D85" s="13" t="s">
        <v>53</v>
      </c>
      <c r="E85" s="13" t="s">
        <v>5</v>
      </c>
      <c r="F85" s="13">
        <v>1.0</v>
      </c>
      <c r="G85" s="13">
        <f t="array" ref="G85">IF(OR(D85="",E85=""),"",IFERROR(CHOOSE(MATCH(E85,{"S","M","L","-"},0),VLOOKUP(D85,Menu!$A$2:$F$105,3,0),VLOOKUP(D85,Menu!$A$2:$F$105,4,0),VLOOKUP(D85,Menu!$A$2:$F$105,5,0),VLOOKUP(D85,Menu!$A$2:$F$105,6,0)),"N/A"))</f>
        <v>30</v>
      </c>
      <c r="H85" s="13">
        <f t="shared" si="2"/>
        <v>30</v>
      </c>
      <c r="I85" s="13">
        <f t="shared" si="3"/>
        <v>1024</v>
      </c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2">
        <v>45179.0</v>
      </c>
      <c r="B86" s="13" t="str">
        <f t="shared" si="1"/>
        <v>Sunday</v>
      </c>
      <c r="C86" s="13" t="str">
        <f>IF(D86="","",VLOOKUP(D86,Menu!$A$2:$B$105,2,0))</f>
        <v>Shake</v>
      </c>
      <c r="D86" s="13" t="s">
        <v>43</v>
      </c>
      <c r="E86" s="13" t="s">
        <v>5</v>
      </c>
      <c r="F86" s="13">
        <v>2.0</v>
      </c>
      <c r="G86" s="13">
        <f t="array" ref="G86">IF(OR(D86="",E86=""),"",IFERROR(CHOOSE(MATCH(E86,{"S","M","L","-"},0),VLOOKUP(D86,Menu!$A$2:$F$105,3,0),VLOOKUP(D86,Menu!$A$2:$F$105,4,0),VLOOKUP(D86,Menu!$A$2:$F$105,5,0),VLOOKUP(D86,Menu!$A$2:$F$105,6,0)),"N/A"))</f>
        <v>50</v>
      </c>
      <c r="H86" s="13">
        <f t="shared" si="2"/>
        <v>100</v>
      </c>
      <c r="I86" s="13">
        <f t="shared" si="3"/>
        <v>1024</v>
      </c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2">
        <v>45179.0</v>
      </c>
      <c r="B87" s="13" t="str">
        <f t="shared" si="1"/>
        <v>Sunday</v>
      </c>
      <c r="C87" s="13" t="str">
        <f>IF(D87="","",VLOOKUP(D87,Menu!$A$2:$B$105,2,0))</f>
        <v>Dessert</v>
      </c>
      <c r="D87" s="13" t="s">
        <v>54</v>
      </c>
      <c r="E87" s="13" t="s">
        <v>5</v>
      </c>
      <c r="F87" s="13">
        <v>2.0</v>
      </c>
      <c r="G87" s="13">
        <f t="array" ref="G87">IF(OR(D87="",E87=""),"",IFERROR(CHOOSE(MATCH(E87,{"S","M","L","-"},0),VLOOKUP(D87,Menu!$A$2:$F$105,3,0),VLOOKUP(D87,Menu!$A$2:$F$105,4,0),VLOOKUP(D87,Menu!$A$2:$F$105,5,0),VLOOKUP(D87,Menu!$A$2:$F$105,6,0)),"N/A"))</f>
        <v>70</v>
      </c>
      <c r="H87" s="13">
        <f t="shared" si="2"/>
        <v>140</v>
      </c>
      <c r="I87" s="13">
        <f t="shared" si="3"/>
        <v>1024</v>
      </c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2">
        <v>45179.0</v>
      </c>
      <c r="B88" s="13" t="str">
        <f t="shared" si="1"/>
        <v>Sunday</v>
      </c>
      <c r="C88" s="13" t="str">
        <f>IF(D88="","",VLOOKUP(D88,Menu!$A$2:$B$105,2,0))</f>
        <v>Burger</v>
      </c>
      <c r="D88" s="13" t="s">
        <v>27</v>
      </c>
      <c r="E88" s="13" t="s">
        <v>5</v>
      </c>
      <c r="F88" s="13">
        <v>2.0</v>
      </c>
      <c r="G88" s="13">
        <f t="array" ref="G88">IF(OR(D88="",E88=""),"",IFERROR(CHOOSE(MATCH(E88,{"S","M","L","-"},0),VLOOKUP(D88,Menu!$A$2:$F$105,3,0),VLOOKUP(D88,Menu!$A$2:$F$105,4,0),VLOOKUP(D88,Menu!$A$2:$F$105,5,0),VLOOKUP(D88,Menu!$A$2:$F$105,6,0)),"N/A"))</f>
        <v>39</v>
      </c>
      <c r="H88" s="13">
        <f t="shared" si="2"/>
        <v>78</v>
      </c>
      <c r="I88" s="13">
        <f t="shared" si="3"/>
        <v>1024</v>
      </c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2">
        <v>45179.0</v>
      </c>
      <c r="B89" s="13" t="str">
        <f t="shared" si="1"/>
        <v>Sunday</v>
      </c>
      <c r="C89" s="13" t="str">
        <f>IF(D89="","",VLOOKUP(D89,Menu!$A$2:$B$105,2,0))</f>
        <v>Pizza</v>
      </c>
      <c r="D89" s="13" t="s">
        <v>23</v>
      </c>
      <c r="E89" s="13" t="s">
        <v>3</v>
      </c>
      <c r="F89" s="13">
        <v>1.0</v>
      </c>
      <c r="G89" s="13">
        <f t="array" ref="G89">IF(OR(D89="",E89=""),"",IFERROR(CHOOSE(MATCH(E89,{"S","M","L","-"},0),VLOOKUP(D89,Menu!$A$2:$F$105,3,0),VLOOKUP(D89,Menu!$A$2:$F$105,4,0),VLOOKUP(D89,Menu!$A$2:$F$105,5,0),VLOOKUP(D89,Menu!$A$2:$F$105,6,0)),"N/A"))</f>
        <v>230</v>
      </c>
      <c r="H89" s="13">
        <f t="shared" si="2"/>
        <v>230</v>
      </c>
      <c r="I89" s="13">
        <f t="shared" si="3"/>
        <v>1024</v>
      </c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2">
        <v>45179.0</v>
      </c>
      <c r="B90" s="13" t="str">
        <f t="shared" si="1"/>
        <v>Sunday</v>
      </c>
      <c r="C90" s="13" t="str">
        <f>IF(D90="","",VLOOKUP(D90,Menu!$A$2:$B$105,2,0))</f>
        <v>Bread</v>
      </c>
      <c r="D90" s="13" t="s">
        <v>35</v>
      </c>
      <c r="E90" s="13" t="s">
        <v>5</v>
      </c>
      <c r="F90" s="13">
        <v>2.0</v>
      </c>
      <c r="G90" s="13">
        <f t="array" ref="G90">IF(OR(D90="",E90=""),"",IFERROR(CHOOSE(MATCH(E90,{"S","M","L","-"},0),VLOOKUP(D90,Menu!$A$2:$F$105,3,0),VLOOKUP(D90,Menu!$A$2:$F$105,4,0),VLOOKUP(D90,Menu!$A$2:$F$105,5,0),VLOOKUP(D90,Menu!$A$2:$F$105,6,0)),"N/A"))</f>
        <v>49</v>
      </c>
      <c r="H90" s="13">
        <f t="shared" si="2"/>
        <v>98</v>
      </c>
      <c r="I90" s="13">
        <f t="shared" si="3"/>
        <v>1024</v>
      </c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2">
        <v>45179.0</v>
      </c>
      <c r="B91" s="13" t="str">
        <f t="shared" si="1"/>
        <v>Sunday</v>
      </c>
      <c r="C91" s="13" t="str">
        <f>IF(D91="","",VLOOKUP(D91,Menu!$A$2:$B$105,2,0))</f>
        <v>Pizza</v>
      </c>
      <c r="D91" s="13" t="s">
        <v>15</v>
      </c>
      <c r="E91" s="13" t="s">
        <v>3</v>
      </c>
      <c r="F91" s="13">
        <v>1.0</v>
      </c>
      <c r="G91" s="13">
        <f t="array" ref="G91">IF(OR(D91="",E91=""),"",IFERROR(CHOOSE(MATCH(E91,{"S","M","L","-"},0),VLOOKUP(D91,Menu!$A$2:$F$105,3,0),VLOOKUP(D91,Menu!$A$2:$F$105,4,0),VLOOKUP(D91,Menu!$A$2:$F$105,5,0),VLOOKUP(D91,Menu!$A$2:$F$105,6,0)),"N/A"))</f>
        <v>149</v>
      </c>
      <c r="H91" s="13">
        <f t="shared" si="2"/>
        <v>149</v>
      </c>
      <c r="I91" s="13">
        <f t="shared" si="3"/>
        <v>1024</v>
      </c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2">
        <v>45179.0</v>
      </c>
      <c r="B92" s="13" t="str">
        <f t="shared" si="1"/>
        <v>Sunday</v>
      </c>
      <c r="C92" s="13" t="str">
        <f>IF(D92="","",VLOOKUP(D92,Menu!$A$2:$B$105,2,0))</f>
        <v>Burger</v>
      </c>
      <c r="D92" s="13" t="s">
        <v>66</v>
      </c>
      <c r="E92" s="13" t="s">
        <v>5</v>
      </c>
      <c r="F92" s="13">
        <v>2.0</v>
      </c>
      <c r="G92" s="13">
        <f t="array" ref="G92">IF(OR(D92="",E92=""),"",IFERROR(CHOOSE(MATCH(E92,{"S","M","L","-"},0),VLOOKUP(D92,Menu!$A$2:$F$105,3,0),VLOOKUP(D92,Menu!$A$2:$F$105,4,0),VLOOKUP(D92,Menu!$A$2:$F$105,5,0),VLOOKUP(D92,Menu!$A$2:$F$105,6,0)),"N/A"))</f>
        <v>5</v>
      </c>
      <c r="H92" s="13">
        <f t="shared" si="2"/>
        <v>10</v>
      </c>
      <c r="I92" s="13">
        <f t="shared" si="3"/>
        <v>1024</v>
      </c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9">
        <v>45180.0</v>
      </c>
      <c r="B93" s="10" t="str">
        <f t="shared" si="1"/>
        <v>Monday</v>
      </c>
      <c r="C93" s="10" t="str">
        <f>IF(D93="","",VLOOKUP(D93,Menu!$A$2:$B$105,2,0))</f>
        <v>Pizza</v>
      </c>
      <c r="D93" s="10" t="s">
        <v>24</v>
      </c>
      <c r="E93" s="10" t="s">
        <v>2</v>
      </c>
      <c r="F93" s="10">
        <v>1.0</v>
      </c>
      <c r="G93" s="10">
        <f t="array" ref="G93">IF(OR(D93="",E93=""),"",IFERROR(CHOOSE(MATCH(E93,{"S","M","L","-"},0),VLOOKUP(D93,Menu!$A$2:$F$105,3,0),VLOOKUP(D93,Menu!$A$2:$F$105,4,0),VLOOKUP(D93,Menu!$A$2:$F$105,5,0),VLOOKUP(D93,Menu!$A$2:$F$105,6,0)),"N/A"))</f>
        <v>149</v>
      </c>
      <c r="H93" s="10">
        <f t="shared" si="2"/>
        <v>149</v>
      </c>
      <c r="I93" s="10">
        <f t="shared" si="3"/>
        <v>755</v>
      </c>
      <c r="J93" s="10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9">
        <v>45180.0</v>
      </c>
      <c r="B94" s="10" t="str">
        <f t="shared" si="1"/>
        <v>Monday</v>
      </c>
      <c r="C94" s="10" t="str">
        <f>IF(D94="","",VLOOKUP(D94,Menu!$A$2:$B$105,2,0))</f>
        <v>Beverage</v>
      </c>
      <c r="D94" s="10" t="s">
        <v>63</v>
      </c>
      <c r="E94" s="10" t="s">
        <v>5</v>
      </c>
      <c r="F94" s="10">
        <v>3.0</v>
      </c>
      <c r="G94" s="10">
        <f t="array" ref="G94">IF(OR(D94="",E94=""),"",IFERROR(CHOOSE(MATCH(E94,{"S","M","L","-"},0),VLOOKUP(D94,Menu!$A$2:$F$105,3,0),VLOOKUP(D94,Menu!$A$2:$F$105,4,0),VLOOKUP(D94,Menu!$A$2:$F$105,5,0),VLOOKUP(D94,Menu!$A$2:$F$105,6,0)),"N/A"))</f>
        <v>20</v>
      </c>
      <c r="H94" s="10">
        <f t="shared" si="2"/>
        <v>60</v>
      </c>
      <c r="I94" s="10">
        <f t="shared" si="3"/>
        <v>755</v>
      </c>
      <c r="J94" s="1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9">
        <v>45180.0</v>
      </c>
      <c r="B95" s="10" t="str">
        <f t="shared" si="1"/>
        <v>Monday</v>
      </c>
      <c r="C95" s="10" t="str">
        <f>IF(D95="","",VLOOKUP(D95,Menu!$A$2:$B$105,2,0))</f>
        <v>Shake</v>
      </c>
      <c r="D95" s="10" t="s">
        <v>44</v>
      </c>
      <c r="E95" s="10" t="s">
        <v>5</v>
      </c>
      <c r="F95" s="10">
        <v>3.0</v>
      </c>
      <c r="G95" s="10">
        <f t="array" ref="G95">IF(OR(D95="",E95=""),"",IFERROR(CHOOSE(MATCH(E95,{"S","M","L","-"},0),VLOOKUP(D95,Menu!$A$2:$F$105,3,0),VLOOKUP(D95,Menu!$A$2:$F$105,4,0),VLOOKUP(D95,Menu!$A$2:$F$105,5,0),VLOOKUP(D95,Menu!$A$2:$F$105,6,0)),"N/A"))</f>
        <v>40</v>
      </c>
      <c r="H95" s="10">
        <f t="shared" si="2"/>
        <v>120</v>
      </c>
      <c r="I95" s="10">
        <f t="shared" si="3"/>
        <v>755</v>
      </c>
      <c r="J95" s="1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9">
        <v>45180.0</v>
      </c>
      <c r="B96" s="10" t="str">
        <f t="shared" si="1"/>
        <v>Monday</v>
      </c>
      <c r="C96" s="10" t="str">
        <f>IF(D96="","",VLOOKUP(D96,Menu!$A$2:$B$105,2,0))</f>
        <v>Pizza</v>
      </c>
      <c r="D96" s="10" t="s">
        <v>8</v>
      </c>
      <c r="E96" s="10" t="s">
        <v>2</v>
      </c>
      <c r="F96" s="10">
        <v>2.0</v>
      </c>
      <c r="G96" s="10">
        <f t="array" ref="G96">IF(OR(D96="",E96=""),"",IFERROR(CHOOSE(MATCH(E96,{"S","M","L","-"},0),VLOOKUP(D96,Menu!$A$2:$F$105,3,0),VLOOKUP(D96,Menu!$A$2:$F$105,4,0),VLOOKUP(D96,Menu!$A$2:$F$105,5,0),VLOOKUP(D96,Menu!$A$2:$F$105,6,0)),"N/A"))</f>
        <v>59</v>
      </c>
      <c r="H96" s="10">
        <f t="shared" si="2"/>
        <v>118</v>
      </c>
      <c r="I96" s="10">
        <f t="shared" si="3"/>
        <v>755</v>
      </c>
      <c r="J96" s="1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9">
        <v>45180.0</v>
      </c>
      <c r="B97" s="10" t="str">
        <f t="shared" si="1"/>
        <v>Monday</v>
      </c>
      <c r="C97" s="10" t="str">
        <f>IF(D97="","",VLOOKUP(D97,Menu!$A$2:$B$105,2,0))</f>
        <v>Shake</v>
      </c>
      <c r="D97" s="10" t="s">
        <v>41</v>
      </c>
      <c r="E97" s="10" t="s">
        <v>5</v>
      </c>
      <c r="F97" s="10">
        <v>1.0</v>
      </c>
      <c r="G97" s="10">
        <f t="array" ref="G97">IF(OR(D97="",E97=""),"",IFERROR(CHOOSE(MATCH(E97,{"S","M","L","-"},0),VLOOKUP(D97,Menu!$A$2:$F$105,3,0),VLOOKUP(D97,Menu!$A$2:$F$105,4,0),VLOOKUP(D97,Menu!$A$2:$F$105,5,0),VLOOKUP(D97,Menu!$A$2:$F$105,6,0)),"N/A"))</f>
        <v>70</v>
      </c>
      <c r="H97" s="10">
        <f t="shared" si="2"/>
        <v>70</v>
      </c>
      <c r="I97" s="10">
        <f t="shared" si="3"/>
        <v>755</v>
      </c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9">
        <v>45180.0</v>
      </c>
      <c r="B98" s="10" t="str">
        <f t="shared" si="1"/>
        <v>Monday</v>
      </c>
      <c r="C98" s="10" t="str">
        <f>IF(D98="","",VLOOKUP(D98,Menu!$A$2:$B$105,2,0))</f>
        <v>Pizza</v>
      </c>
      <c r="D98" s="10" t="s">
        <v>14</v>
      </c>
      <c r="E98" s="10" t="s">
        <v>3</v>
      </c>
      <c r="F98" s="10">
        <v>1.0</v>
      </c>
      <c r="G98" s="10">
        <f t="array" ref="G98">IF(OR(D98="",E98=""),"",IFERROR(CHOOSE(MATCH(E98,{"S","M","L","-"},0),VLOOKUP(D98,Menu!$A$2:$F$105,3,0),VLOOKUP(D98,Menu!$A$2:$F$105,4,0),VLOOKUP(D98,Menu!$A$2:$F$105,5,0),VLOOKUP(D98,Menu!$A$2:$F$105,6,0)),"N/A"))</f>
        <v>129</v>
      </c>
      <c r="H98" s="10">
        <f t="shared" si="2"/>
        <v>129</v>
      </c>
      <c r="I98" s="10">
        <f t="shared" si="3"/>
        <v>755</v>
      </c>
      <c r="J98" s="1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9">
        <v>45180.0</v>
      </c>
      <c r="B99" s="10" t="str">
        <f t="shared" si="1"/>
        <v>Monday</v>
      </c>
      <c r="C99" s="10" t="str">
        <f>IF(D99="","",VLOOKUP(D99,Menu!$A$2:$B$105,2,0))</f>
        <v>Pizza</v>
      </c>
      <c r="D99" s="10" t="s">
        <v>18</v>
      </c>
      <c r="E99" s="10" t="s">
        <v>2</v>
      </c>
      <c r="F99" s="10">
        <v>1.0</v>
      </c>
      <c r="G99" s="10">
        <f t="array" ref="G99">IF(OR(D99="",E99=""),"",IFERROR(CHOOSE(MATCH(E99,{"S","M","L","-"},0),VLOOKUP(D99,Menu!$A$2:$F$105,3,0),VLOOKUP(D99,Menu!$A$2:$F$105,4,0),VLOOKUP(D99,Menu!$A$2:$F$105,5,0),VLOOKUP(D99,Menu!$A$2:$F$105,6,0)),"N/A"))</f>
        <v>109</v>
      </c>
      <c r="H99" s="10">
        <f t="shared" si="2"/>
        <v>109</v>
      </c>
      <c r="I99" s="10">
        <f t="shared" si="3"/>
        <v>755</v>
      </c>
      <c r="J99" s="1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2">
        <v>45181.0</v>
      </c>
      <c r="B100" s="13" t="str">
        <f t="shared" si="1"/>
        <v>Tuesday</v>
      </c>
      <c r="C100" s="13" t="str">
        <f>IF(D100="","",VLOOKUP(D100,Menu!$A$2:$B$105,2,0))</f>
        <v>Beverage</v>
      </c>
      <c r="D100" s="13" t="s">
        <v>63</v>
      </c>
      <c r="E100" s="13" t="s">
        <v>5</v>
      </c>
      <c r="F100" s="13">
        <v>5.0</v>
      </c>
      <c r="G100" s="13">
        <f t="array" ref="G100">IF(OR(D100="",E100=""),"",IFERROR(CHOOSE(MATCH(E100,{"S","M","L","-"},0),VLOOKUP(D100,Menu!$A$2:$F$105,3,0),VLOOKUP(D100,Menu!$A$2:$F$105,4,0),VLOOKUP(D100,Menu!$A$2:$F$105,5,0),VLOOKUP(D100,Menu!$A$2:$F$105,6,0)),"N/A"))</f>
        <v>20</v>
      </c>
      <c r="H100" s="13">
        <f t="shared" si="2"/>
        <v>100</v>
      </c>
      <c r="I100" s="13">
        <f t="shared" si="3"/>
        <v>1094</v>
      </c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2">
        <v>45181.0</v>
      </c>
      <c r="B101" s="13" t="str">
        <f t="shared" si="1"/>
        <v>Tuesday</v>
      </c>
      <c r="C101" s="13" t="str">
        <f>IF(D101="","",VLOOKUP(D101,Menu!$A$2:$B$105,2,0))</f>
        <v>Pizza</v>
      </c>
      <c r="D101" s="13" t="s">
        <v>11</v>
      </c>
      <c r="E101" s="13" t="s">
        <v>3</v>
      </c>
      <c r="F101" s="13">
        <v>2.0</v>
      </c>
      <c r="G101" s="13">
        <f t="array" ref="G101">IF(OR(D101="",E101=""),"",IFERROR(CHOOSE(MATCH(E101,{"S","M","L","-"},0),VLOOKUP(D101,Menu!$A$2:$F$105,3,0),VLOOKUP(D101,Menu!$A$2:$F$105,4,0),VLOOKUP(D101,Menu!$A$2:$F$105,5,0),VLOOKUP(D101,Menu!$A$2:$F$105,6,0)),"N/A"))</f>
        <v>109</v>
      </c>
      <c r="H101" s="13">
        <f t="shared" si="2"/>
        <v>218</v>
      </c>
      <c r="I101" s="13">
        <f t="shared" si="3"/>
        <v>1094</v>
      </c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2">
        <v>45181.0</v>
      </c>
      <c r="B102" s="13" t="str">
        <f t="shared" si="1"/>
        <v>Tuesday</v>
      </c>
      <c r="C102" s="13" t="str">
        <f>IF(D102="","",VLOOKUP(D102,Menu!$A$2:$B$105,2,0))</f>
        <v>Shake</v>
      </c>
      <c r="D102" s="13" t="s">
        <v>46</v>
      </c>
      <c r="E102" s="13" t="s">
        <v>5</v>
      </c>
      <c r="F102" s="13">
        <v>2.0</v>
      </c>
      <c r="G102" s="13">
        <f t="array" ref="G102">IF(OR(D102="",E102=""),"",IFERROR(CHOOSE(MATCH(E102,{"S","M","L","-"},0),VLOOKUP(D102,Menu!$A$2:$F$105,3,0),VLOOKUP(D102,Menu!$A$2:$F$105,4,0),VLOOKUP(D102,Menu!$A$2:$F$105,5,0),VLOOKUP(D102,Menu!$A$2:$F$105,6,0)),"N/A"))</f>
        <v>50</v>
      </c>
      <c r="H102" s="13">
        <f t="shared" si="2"/>
        <v>100</v>
      </c>
      <c r="I102" s="13">
        <f t="shared" si="3"/>
        <v>1094</v>
      </c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2">
        <v>45181.0</v>
      </c>
      <c r="B103" s="13" t="str">
        <f t="shared" si="1"/>
        <v>Tuesday</v>
      </c>
      <c r="C103" s="13" t="str">
        <f>IF(D103="","",VLOOKUP(D103,Menu!$A$2:$B$105,2,0))</f>
        <v>Burger</v>
      </c>
      <c r="D103" s="13" t="s">
        <v>29</v>
      </c>
      <c r="E103" s="13" t="s">
        <v>5</v>
      </c>
      <c r="F103" s="13">
        <v>1.0</v>
      </c>
      <c r="G103" s="13">
        <f t="array" ref="G103">IF(OR(D103="",E103=""),"",IFERROR(CHOOSE(MATCH(E103,{"S","M","L","-"},0),VLOOKUP(D103,Menu!$A$2:$F$105,3,0),VLOOKUP(D103,Menu!$A$2:$F$105,4,0),VLOOKUP(D103,Menu!$A$2:$F$105,5,0),VLOOKUP(D103,Menu!$A$2:$F$105,6,0)),"N/A"))</f>
        <v>59</v>
      </c>
      <c r="H103" s="13">
        <f t="shared" si="2"/>
        <v>59</v>
      </c>
      <c r="I103" s="13">
        <f t="shared" si="3"/>
        <v>1094</v>
      </c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2">
        <v>45181.0</v>
      </c>
      <c r="B104" s="13" t="str">
        <f t="shared" si="1"/>
        <v>Tuesday</v>
      </c>
      <c r="C104" s="13" t="str">
        <f>IF(D104="","",VLOOKUP(D104,Menu!$A$2:$B$105,2,0))</f>
        <v>Hot Dog</v>
      </c>
      <c r="D104" s="13" t="s">
        <v>32</v>
      </c>
      <c r="E104" s="13" t="s">
        <v>5</v>
      </c>
      <c r="F104" s="13">
        <v>1.0</v>
      </c>
      <c r="G104" s="13">
        <f t="array" ref="G104">IF(OR(D104="",E104=""),"",IFERROR(CHOOSE(MATCH(E104,{"S","M","L","-"},0),VLOOKUP(D104,Menu!$A$2:$F$105,3,0),VLOOKUP(D104,Menu!$A$2:$F$105,4,0),VLOOKUP(D104,Menu!$A$2:$F$105,5,0),VLOOKUP(D104,Menu!$A$2:$F$105,6,0)),"N/A"))</f>
        <v>70</v>
      </c>
      <c r="H104" s="13">
        <f t="shared" si="2"/>
        <v>70</v>
      </c>
      <c r="I104" s="13">
        <f t="shared" si="3"/>
        <v>1094</v>
      </c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2">
        <v>45181.0</v>
      </c>
      <c r="B105" s="13" t="str">
        <f t="shared" si="1"/>
        <v>Tuesday</v>
      </c>
      <c r="C105" s="13" t="str">
        <f>IF(D105="","",VLOOKUP(D105,Menu!$A$2:$B$105,2,0))</f>
        <v>Pizza</v>
      </c>
      <c r="D105" s="13" t="s">
        <v>26</v>
      </c>
      <c r="E105" s="13" t="s">
        <v>5</v>
      </c>
      <c r="F105" s="13">
        <v>1.0</v>
      </c>
      <c r="G105" s="13">
        <f t="array" ref="G105">IF(OR(D105="",E105=""),"",IFERROR(CHOOSE(MATCH(E105,{"S","M","L","-"},0),VLOOKUP(D105,Menu!$A$2:$F$105,3,0),VLOOKUP(D105,Menu!$A$2:$F$105,4,0),VLOOKUP(D105,Menu!$A$2:$F$105,5,0),VLOOKUP(D105,Menu!$A$2:$F$105,6,0)),"N/A"))</f>
        <v>99</v>
      </c>
      <c r="H105" s="13">
        <f t="shared" si="2"/>
        <v>99</v>
      </c>
      <c r="I105" s="13">
        <f t="shared" si="3"/>
        <v>1094</v>
      </c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2">
        <v>45181.0</v>
      </c>
      <c r="B106" s="13" t="str">
        <f t="shared" si="1"/>
        <v>Tuesday</v>
      </c>
      <c r="C106" s="13" t="str">
        <f>IF(D106="","",VLOOKUP(D106,Menu!$A$2:$B$105,2,0))</f>
        <v>Pizza</v>
      </c>
      <c r="D106" s="13" t="s">
        <v>18</v>
      </c>
      <c r="E106" s="13" t="s">
        <v>3</v>
      </c>
      <c r="F106" s="13">
        <v>2.0</v>
      </c>
      <c r="G106" s="13">
        <f t="array" ref="G106">IF(OR(D106="",E106=""),"",IFERROR(CHOOSE(MATCH(E106,{"S","M","L","-"},0),VLOOKUP(D106,Menu!$A$2:$F$105,3,0),VLOOKUP(D106,Menu!$A$2:$F$105,4,0),VLOOKUP(D106,Menu!$A$2:$F$105,5,0),VLOOKUP(D106,Menu!$A$2:$F$105,6,0)),"N/A"))</f>
        <v>199</v>
      </c>
      <c r="H106" s="13">
        <f t="shared" si="2"/>
        <v>398</v>
      </c>
      <c r="I106" s="13">
        <f t="shared" si="3"/>
        <v>1094</v>
      </c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2">
        <v>45181.0</v>
      </c>
      <c r="B107" s="13" t="str">
        <f t="shared" si="1"/>
        <v>Tuesday</v>
      </c>
      <c r="C107" s="13" t="str">
        <f>IF(D107="","",VLOOKUP(D107,Menu!$A$2:$B$105,2,0))</f>
        <v>Shake</v>
      </c>
      <c r="D107" s="13" t="s">
        <v>43</v>
      </c>
      <c r="E107" s="13" t="s">
        <v>5</v>
      </c>
      <c r="F107" s="13">
        <v>1.0</v>
      </c>
      <c r="G107" s="13">
        <f t="array" ref="G107">IF(OR(D107="",E107=""),"",IFERROR(CHOOSE(MATCH(E107,{"S","M","L","-"},0),VLOOKUP(D107,Menu!$A$2:$F$105,3,0),VLOOKUP(D107,Menu!$A$2:$F$105,4,0),VLOOKUP(D107,Menu!$A$2:$F$105,5,0),VLOOKUP(D107,Menu!$A$2:$F$105,6,0)),"N/A"))</f>
        <v>50</v>
      </c>
      <c r="H107" s="13">
        <f t="shared" si="2"/>
        <v>50</v>
      </c>
      <c r="I107" s="13">
        <f t="shared" si="3"/>
        <v>1094</v>
      </c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9">
        <v>45182.0</v>
      </c>
      <c r="B108" s="10" t="str">
        <f t="shared" si="1"/>
        <v>Wednesday</v>
      </c>
      <c r="C108" s="10" t="str">
        <f>IF(D108="","",VLOOKUP(D108,Menu!$A$2:$B$105,2,0))</f>
        <v>Beverage</v>
      </c>
      <c r="D108" s="10" t="s">
        <v>63</v>
      </c>
      <c r="E108" s="10" t="s">
        <v>5</v>
      </c>
      <c r="F108" s="10">
        <v>4.0</v>
      </c>
      <c r="G108" s="10">
        <f t="array" ref="G108">IF(OR(D108="",E108=""),"",IFERROR(CHOOSE(MATCH(E108,{"S","M","L","-"},0),VLOOKUP(D108,Menu!$A$2:$F$105,3,0),VLOOKUP(D108,Menu!$A$2:$F$105,4,0),VLOOKUP(D108,Menu!$A$2:$F$105,5,0),VLOOKUP(D108,Menu!$A$2:$F$105,6,0)),"N/A"))</f>
        <v>20</v>
      </c>
      <c r="H108" s="10">
        <f t="shared" si="2"/>
        <v>80</v>
      </c>
      <c r="I108" s="10">
        <f t="shared" si="3"/>
        <v>1371</v>
      </c>
      <c r="J108" s="10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9">
        <v>45182.0</v>
      </c>
      <c r="B109" s="10" t="str">
        <f t="shared" si="1"/>
        <v>Wednesday</v>
      </c>
      <c r="C109" s="10" t="str">
        <f>IF(D109="","",VLOOKUP(D109,Menu!$A$2:$B$105,2,0))</f>
        <v>Pizza</v>
      </c>
      <c r="D109" s="10" t="s">
        <v>9</v>
      </c>
      <c r="E109" s="10" t="s">
        <v>3</v>
      </c>
      <c r="F109" s="10">
        <v>2.0</v>
      </c>
      <c r="G109" s="10">
        <f t="array" ref="G109">IF(OR(D109="",E109=""),"",IFERROR(CHOOSE(MATCH(E109,{"S","M","L","-"},0),VLOOKUP(D109,Menu!$A$2:$F$105,3,0),VLOOKUP(D109,Menu!$A$2:$F$105,4,0),VLOOKUP(D109,Menu!$A$2:$F$105,5,0),VLOOKUP(D109,Menu!$A$2:$F$105,6,0)),"N/A"))</f>
        <v>109</v>
      </c>
      <c r="H109" s="10">
        <f t="shared" si="2"/>
        <v>218</v>
      </c>
      <c r="I109" s="10">
        <f t="shared" si="3"/>
        <v>1371</v>
      </c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9">
        <v>45182.0</v>
      </c>
      <c r="B110" s="10" t="str">
        <f t="shared" si="1"/>
        <v>Wednesday</v>
      </c>
      <c r="C110" s="10" t="str">
        <f>IF(D110="","",VLOOKUP(D110,Menu!$A$2:$B$105,2,0))</f>
        <v>Pizza</v>
      </c>
      <c r="D110" s="10" t="s">
        <v>11</v>
      </c>
      <c r="E110" s="10" t="s">
        <v>3</v>
      </c>
      <c r="F110" s="10">
        <v>2.0</v>
      </c>
      <c r="G110" s="10">
        <f t="array" ref="G110">IF(OR(D110="",E110=""),"",IFERROR(CHOOSE(MATCH(E110,{"S","M","L","-"},0),VLOOKUP(D110,Menu!$A$2:$F$105,3,0),VLOOKUP(D110,Menu!$A$2:$F$105,4,0),VLOOKUP(D110,Menu!$A$2:$F$105,5,0),VLOOKUP(D110,Menu!$A$2:$F$105,6,0)),"N/A"))</f>
        <v>109</v>
      </c>
      <c r="H110" s="10">
        <f t="shared" si="2"/>
        <v>218</v>
      </c>
      <c r="I110" s="10">
        <f t="shared" si="3"/>
        <v>1371</v>
      </c>
      <c r="J110" s="10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9">
        <v>45182.0</v>
      </c>
      <c r="B111" s="10" t="str">
        <f t="shared" si="1"/>
        <v>Wednesday</v>
      </c>
      <c r="C111" s="10" t="str">
        <f>IF(D111="","",VLOOKUP(D111,Menu!$A$2:$B$105,2,0))</f>
        <v>Burger</v>
      </c>
      <c r="D111" s="10" t="s">
        <v>29</v>
      </c>
      <c r="E111" s="10" t="s">
        <v>5</v>
      </c>
      <c r="F111" s="10">
        <v>1.0</v>
      </c>
      <c r="G111" s="10">
        <f t="array" ref="G111">IF(OR(D111="",E111=""),"",IFERROR(CHOOSE(MATCH(E111,{"S","M","L","-"},0),VLOOKUP(D111,Menu!$A$2:$F$105,3,0),VLOOKUP(D111,Menu!$A$2:$F$105,4,0),VLOOKUP(D111,Menu!$A$2:$F$105,5,0),VLOOKUP(D111,Menu!$A$2:$F$105,6,0)),"N/A"))</f>
        <v>59</v>
      </c>
      <c r="H111" s="10">
        <f t="shared" si="2"/>
        <v>59</v>
      </c>
      <c r="I111" s="10">
        <f t="shared" si="3"/>
        <v>1371</v>
      </c>
      <c r="J111" s="10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9">
        <v>45182.0</v>
      </c>
      <c r="B112" s="10" t="str">
        <f t="shared" si="1"/>
        <v>Wednesday</v>
      </c>
      <c r="C112" s="10" t="str">
        <f>IF(D112="","",VLOOKUP(D112,Menu!$A$2:$B$105,2,0))</f>
        <v>Shake</v>
      </c>
      <c r="D112" s="10" t="s">
        <v>43</v>
      </c>
      <c r="E112" s="10" t="s">
        <v>5</v>
      </c>
      <c r="F112" s="10">
        <v>1.0</v>
      </c>
      <c r="G112" s="10">
        <f t="array" ref="G112">IF(OR(D112="",E112=""),"",IFERROR(CHOOSE(MATCH(E112,{"S","M","L","-"},0),VLOOKUP(D112,Menu!$A$2:$F$105,3,0),VLOOKUP(D112,Menu!$A$2:$F$105,4,0),VLOOKUP(D112,Menu!$A$2:$F$105,5,0),VLOOKUP(D112,Menu!$A$2:$F$105,6,0)),"N/A"))</f>
        <v>50</v>
      </c>
      <c r="H112" s="10">
        <f t="shared" si="2"/>
        <v>50</v>
      </c>
      <c r="I112" s="10">
        <f t="shared" si="3"/>
        <v>1371</v>
      </c>
      <c r="J112" s="10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9">
        <v>45182.0</v>
      </c>
      <c r="B113" s="10" t="str">
        <f t="shared" si="1"/>
        <v>Wednesday</v>
      </c>
      <c r="C113" s="10" t="str">
        <f>IF(D113="","",VLOOKUP(D113,Menu!$A$2:$B$105,2,0))</f>
        <v>Pizza</v>
      </c>
      <c r="D113" s="10" t="s">
        <v>15</v>
      </c>
      <c r="E113" s="10" t="s">
        <v>3</v>
      </c>
      <c r="F113" s="10">
        <v>1.0</v>
      </c>
      <c r="G113" s="10">
        <f t="array" ref="G113">IF(OR(D113="",E113=""),"",IFERROR(CHOOSE(MATCH(E113,{"S","M","L","-"},0),VLOOKUP(D113,Menu!$A$2:$F$105,3,0),VLOOKUP(D113,Menu!$A$2:$F$105,4,0),VLOOKUP(D113,Menu!$A$2:$F$105,5,0),VLOOKUP(D113,Menu!$A$2:$F$105,6,0)),"N/A"))</f>
        <v>149</v>
      </c>
      <c r="H113" s="10">
        <f t="shared" si="2"/>
        <v>149</v>
      </c>
      <c r="I113" s="10">
        <f t="shared" si="3"/>
        <v>1371</v>
      </c>
      <c r="J113" s="10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9">
        <v>45182.0</v>
      </c>
      <c r="B114" s="10" t="str">
        <f t="shared" si="1"/>
        <v>Wednesday</v>
      </c>
      <c r="C114" s="10" t="str">
        <f>IF(D114="","",VLOOKUP(D114,Menu!$A$2:$B$105,2,0))</f>
        <v>Pizza</v>
      </c>
      <c r="D114" s="10" t="s">
        <v>16</v>
      </c>
      <c r="E114" s="10" t="s">
        <v>2</v>
      </c>
      <c r="F114" s="10">
        <v>1.0</v>
      </c>
      <c r="G114" s="10">
        <f t="array" ref="G114">IF(OR(D114="",E114=""),"",IFERROR(CHOOSE(MATCH(E114,{"S","M","L","-"},0),VLOOKUP(D114,Menu!$A$2:$F$105,3,0),VLOOKUP(D114,Menu!$A$2:$F$105,4,0),VLOOKUP(D114,Menu!$A$2:$F$105,5,0),VLOOKUP(D114,Menu!$A$2:$F$105,6,0)),"N/A"))</f>
        <v>109</v>
      </c>
      <c r="H114" s="10">
        <f t="shared" si="2"/>
        <v>109</v>
      </c>
      <c r="I114" s="10">
        <f t="shared" si="3"/>
        <v>1371</v>
      </c>
      <c r="J114" s="10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9">
        <v>45182.0</v>
      </c>
      <c r="B115" s="10" t="str">
        <f t="shared" si="1"/>
        <v>Wednesday</v>
      </c>
      <c r="C115" s="10" t="str">
        <f>IF(D115="","",VLOOKUP(D115,Menu!$A$2:$B$105,2,0))</f>
        <v>Hot Dog</v>
      </c>
      <c r="D115" s="10" t="s">
        <v>32</v>
      </c>
      <c r="E115" s="10" t="s">
        <v>5</v>
      </c>
      <c r="F115" s="10">
        <v>2.0</v>
      </c>
      <c r="G115" s="10">
        <f t="array" ref="G115">IF(OR(D115="",E115=""),"",IFERROR(CHOOSE(MATCH(E115,{"S","M","L","-"},0),VLOOKUP(D115,Menu!$A$2:$F$105,3,0),VLOOKUP(D115,Menu!$A$2:$F$105,4,0),VLOOKUP(D115,Menu!$A$2:$F$105,5,0),VLOOKUP(D115,Menu!$A$2:$F$105,6,0)),"N/A"))</f>
        <v>70</v>
      </c>
      <c r="H115" s="10">
        <f t="shared" si="2"/>
        <v>140</v>
      </c>
      <c r="I115" s="10">
        <f t="shared" si="3"/>
        <v>1371</v>
      </c>
      <c r="J115" s="10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9">
        <v>45182.0</v>
      </c>
      <c r="B116" s="10" t="str">
        <f t="shared" si="1"/>
        <v>Wednesday</v>
      </c>
      <c r="C116" s="10" t="str">
        <f>IF(D116="","",VLOOKUP(D116,Menu!$A$2:$B$105,2,0))</f>
        <v>Pizza</v>
      </c>
      <c r="D116" s="10" t="s">
        <v>26</v>
      </c>
      <c r="E116" s="10" t="s">
        <v>5</v>
      </c>
      <c r="F116" s="10">
        <v>2.0</v>
      </c>
      <c r="G116" s="10">
        <f t="array" ref="G116">IF(OR(D116="",E116=""),"",IFERROR(CHOOSE(MATCH(E116,{"S","M","L","-"},0),VLOOKUP(D116,Menu!$A$2:$F$105,3,0),VLOOKUP(D116,Menu!$A$2:$F$105,4,0),VLOOKUP(D116,Menu!$A$2:$F$105,5,0),VLOOKUP(D116,Menu!$A$2:$F$105,6,0)),"N/A"))</f>
        <v>99</v>
      </c>
      <c r="H116" s="10">
        <f t="shared" si="2"/>
        <v>198</v>
      </c>
      <c r="I116" s="10">
        <f t="shared" si="3"/>
        <v>1371</v>
      </c>
      <c r="J116" s="10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9">
        <v>45182.0</v>
      </c>
      <c r="B117" s="10" t="str">
        <f t="shared" si="1"/>
        <v>Wednesday</v>
      </c>
      <c r="C117" s="10" t="str">
        <f>IF(D117="","",VLOOKUP(D117,Menu!$A$2:$B$105,2,0))</f>
        <v>Shake</v>
      </c>
      <c r="D117" s="10" t="s">
        <v>46</v>
      </c>
      <c r="E117" s="10" t="s">
        <v>5</v>
      </c>
      <c r="F117" s="10">
        <v>1.0</v>
      </c>
      <c r="G117" s="10">
        <f t="array" ref="G117">IF(OR(D117="",E117=""),"",IFERROR(CHOOSE(MATCH(E117,{"S","M","L","-"},0),VLOOKUP(D117,Menu!$A$2:$F$105,3,0),VLOOKUP(D117,Menu!$A$2:$F$105,4,0),VLOOKUP(D117,Menu!$A$2:$F$105,5,0),VLOOKUP(D117,Menu!$A$2:$F$105,6,0)),"N/A"))</f>
        <v>50</v>
      </c>
      <c r="H117" s="10">
        <f t="shared" si="2"/>
        <v>50</v>
      </c>
      <c r="I117" s="10">
        <f t="shared" si="3"/>
        <v>1371</v>
      </c>
      <c r="J117" s="10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9">
        <v>45182.0</v>
      </c>
      <c r="B118" s="10" t="str">
        <f t="shared" si="1"/>
        <v>Wednesday</v>
      </c>
      <c r="C118" s="10" t="str">
        <f>IF(D118="","",VLOOKUP(D118,Menu!$A$2:$B$105,2,0))</f>
        <v>Shake</v>
      </c>
      <c r="D118" s="10" t="s">
        <v>45</v>
      </c>
      <c r="E118" s="10" t="s">
        <v>5</v>
      </c>
      <c r="F118" s="10">
        <v>2.0</v>
      </c>
      <c r="G118" s="10">
        <f t="array" ref="G118">IF(OR(D118="",E118=""),"",IFERROR(CHOOSE(MATCH(E118,{"S","M","L","-"},0),VLOOKUP(D118,Menu!$A$2:$F$105,3,0),VLOOKUP(D118,Menu!$A$2:$F$105,4,0),VLOOKUP(D118,Menu!$A$2:$F$105,5,0),VLOOKUP(D118,Menu!$A$2:$F$105,6,0)),"N/A"))</f>
        <v>50</v>
      </c>
      <c r="H118" s="10">
        <f t="shared" si="2"/>
        <v>100</v>
      </c>
      <c r="I118" s="10">
        <f t="shared" si="3"/>
        <v>1371</v>
      </c>
      <c r="J118" s="10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2">
        <v>45183.0</v>
      </c>
      <c r="B119" s="13" t="str">
        <f t="shared" si="1"/>
        <v>Thursday</v>
      </c>
      <c r="C119" s="13" t="str">
        <f>IF(D119="","",VLOOKUP(D119,Menu!$A$2:$B$105,2,0))</f>
        <v>Shake</v>
      </c>
      <c r="D119" s="13" t="s">
        <v>46</v>
      </c>
      <c r="E119" s="13" t="s">
        <v>5</v>
      </c>
      <c r="F119" s="13">
        <v>3.0</v>
      </c>
      <c r="G119" s="13">
        <f t="array" ref="G119">IF(OR(D119="",E119=""),"",IFERROR(CHOOSE(MATCH(E119,{"S","M","L","-"},0),VLOOKUP(D119,Menu!$A$2:$F$105,3,0),VLOOKUP(D119,Menu!$A$2:$F$105,4,0),VLOOKUP(D119,Menu!$A$2:$F$105,5,0),VLOOKUP(D119,Menu!$A$2:$F$105,6,0)),"N/A"))</f>
        <v>50</v>
      </c>
      <c r="H119" s="13">
        <f t="shared" si="2"/>
        <v>150</v>
      </c>
      <c r="I119" s="13">
        <f t="shared" si="3"/>
        <v>2558</v>
      </c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2">
        <v>45183.0</v>
      </c>
      <c r="B120" s="13" t="str">
        <f t="shared" si="1"/>
        <v>Thursday</v>
      </c>
      <c r="C120" s="13" t="str">
        <f>IF(D120="","",VLOOKUP(D120,Menu!$A$2:$B$105,2,0))</f>
        <v>Hot Dog</v>
      </c>
      <c r="D120" s="13" t="s">
        <v>32</v>
      </c>
      <c r="E120" s="13" t="s">
        <v>5</v>
      </c>
      <c r="F120" s="13">
        <v>2.0</v>
      </c>
      <c r="G120" s="13">
        <f t="array" ref="G120">IF(OR(D120="",E120=""),"",IFERROR(CHOOSE(MATCH(E120,{"S","M","L","-"},0),VLOOKUP(D120,Menu!$A$2:$F$105,3,0),VLOOKUP(D120,Menu!$A$2:$F$105,4,0),VLOOKUP(D120,Menu!$A$2:$F$105,5,0),VLOOKUP(D120,Menu!$A$2:$F$105,6,0)),"N/A"))</f>
        <v>70</v>
      </c>
      <c r="H120" s="13">
        <f t="shared" si="2"/>
        <v>140</v>
      </c>
      <c r="I120" s="13">
        <f t="shared" si="3"/>
        <v>2558</v>
      </c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2">
        <v>45183.0</v>
      </c>
      <c r="B121" s="13" t="str">
        <f t="shared" si="1"/>
        <v>Thursday</v>
      </c>
      <c r="C121" s="13" t="str">
        <f>IF(D121="","",VLOOKUP(D121,Menu!$A$2:$B$105,2,0))</f>
        <v>Dessert</v>
      </c>
      <c r="D121" s="13" t="s">
        <v>53</v>
      </c>
      <c r="E121" s="13" t="s">
        <v>5</v>
      </c>
      <c r="F121" s="13">
        <v>1.0</v>
      </c>
      <c r="G121" s="13">
        <f t="array" ref="G121">IF(OR(D121="",E121=""),"",IFERROR(CHOOSE(MATCH(E121,{"S","M","L","-"},0),VLOOKUP(D121,Menu!$A$2:$F$105,3,0),VLOOKUP(D121,Menu!$A$2:$F$105,4,0),VLOOKUP(D121,Menu!$A$2:$F$105,5,0),VLOOKUP(D121,Menu!$A$2:$F$105,6,0)),"N/A"))</f>
        <v>30</v>
      </c>
      <c r="H121" s="13">
        <f t="shared" si="2"/>
        <v>30</v>
      </c>
      <c r="I121" s="13">
        <f t="shared" si="3"/>
        <v>2558</v>
      </c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2">
        <v>45183.0</v>
      </c>
      <c r="B122" s="13" t="str">
        <f t="shared" si="1"/>
        <v>Thursday</v>
      </c>
      <c r="C122" s="13" t="str">
        <f>IF(D122="","",VLOOKUP(D122,Menu!$A$2:$B$105,2,0))</f>
        <v>Beverage</v>
      </c>
      <c r="D122" s="13" t="s">
        <v>63</v>
      </c>
      <c r="E122" s="13" t="s">
        <v>5</v>
      </c>
      <c r="F122" s="13">
        <v>6.0</v>
      </c>
      <c r="G122" s="13">
        <f t="array" ref="G122">IF(OR(D122="",E122=""),"",IFERROR(CHOOSE(MATCH(E122,{"S","M","L","-"},0),VLOOKUP(D122,Menu!$A$2:$F$105,3,0),VLOOKUP(D122,Menu!$A$2:$F$105,4,0),VLOOKUP(D122,Menu!$A$2:$F$105,5,0),VLOOKUP(D122,Menu!$A$2:$F$105,6,0)),"N/A"))</f>
        <v>20</v>
      </c>
      <c r="H122" s="13">
        <f t="shared" si="2"/>
        <v>120</v>
      </c>
      <c r="I122" s="13">
        <f t="shared" si="3"/>
        <v>2558</v>
      </c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2">
        <v>45183.0</v>
      </c>
      <c r="B123" s="13" t="str">
        <f t="shared" si="1"/>
        <v>Thursday</v>
      </c>
      <c r="C123" s="13" t="str">
        <f>IF(D123="","",VLOOKUP(D123,Menu!$A$2:$B$105,2,0))</f>
        <v>Burger</v>
      </c>
      <c r="D123" s="13" t="s">
        <v>66</v>
      </c>
      <c r="E123" s="13" t="s">
        <v>5</v>
      </c>
      <c r="F123" s="13">
        <v>3.0</v>
      </c>
      <c r="G123" s="13">
        <f t="array" ref="G123">IF(OR(D123="",E123=""),"",IFERROR(CHOOSE(MATCH(E123,{"S","M","L","-"},0),VLOOKUP(D123,Menu!$A$2:$F$105,3,0),VLOOKUP(D123,Menu!$A$2:$F$105,4,0),VLOOKUP(D123,Menu!$A$2:$F$105,5,0),VLOOKUP(D123,Menu!$A$2:$F$105,6,0)),"N/A"))</f>
        <v>5</v>
      </c>
      <c r="H123" s="13">
        <f t="shared" si="2"/>
        <v>15</v>
      </c>
      <c r="I123" s="13">
        <f t="shared" si="3"/>
        <v>2558</v>
      </c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2">
        <v>45183.0</v>
      </c>
      <c r="B124" s="13" t="str">
        <f t="shared" si="1"/>
        <v>Thursday</v>
      </c>
      <c r="C124" s="13" t="str">
        <f>IF(D124="","",VLOOKUP(D124,Menu!$A$2:$B$105,2,0))</f>
        <v>Pizza</v>
      </c>
      <c r="D124" s="13" t="s">
        <v>26</v>
      </c>
      <c r="E124" s="13" t="s">
        <v>5</v>
      </c>
      <c r="F124" s="13">
        <v>5.0</v>
      </c>
      <c r="G124" s="13">
        <f t="array" ref="G124">IF(OR(D124="",E124=""),"",IFERROR(CHOOSE(MATCH(E124,{"S","M","L","-"},0),VLOOKUP(D124,Menu!$A$2:$F$105,3,0),VLOOKUP(D124,Menu!$A$2:$F$105,4,0),VLOOKUP(D124,Menu!$A$2:$F$105,5,0),VLOOKUP(D124,Menu!$A$2:$F$105,6,0)),"N/A"))</f>
        <v>99</v>
      </c>
      <c r="H124" s="13">
        <f t="shared" si="2"/>
        <v>495</v>
      </c>
      <c r="I124" s="13">
        <f t="shared" si="3"/>
        <v>2558</v>
      </c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2">
        <v>45183.0</v>
      </c>
      <c r="B125" s="13" t="str">
        <f t="shared" si="1"/>
        <v>Thursday</v>
      </c>
      <c r="C125" s="13" t="str">
        <f>IF(D125="","",VLOOKUP(D125,Menu!$A$2:$B$105,2,0))</f>
        <v>Pizza</v>
      </c>
      <c r="D125" s="13" t="s">
        <v>8</v>
      </c>
      <c r="E125" s="13" t="s">
        <v>2</v>
      </c>
      <c r="F125" s="13">
        <v>1.0</v>
      </c>
      <c r="G125" s="13">
        <f t="array" ref="G125">IF(OR(D125="",E125=""),"",IFERROR(CHOOSE(MATCH(E125,{"S","M","L","-"},0),VLOOKUP(D125,Menu!$A$2:$F$105,3,0),VLOOKUP(D125,Menu!$A$2:$F$105,4,0),VLOOKUP(D125,Menu!$A$2:$F$105,5,0),VLOOKUP(D125,Menu!$A$2:$F$105,6,0)),"N/A"))</f>
        <v>59</v>
      </c>
      <c r="H125" s="13">
        <f t="shared" si="2"/>
        <v>59</v>
      </c>
      <c r="I125" s="13">
        <f t="shared" si="3"/>
        <v>2558</v>
      </c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2">
        <v>45183.0</v>
      </c>
      <c r="B126" s="13" t="str">
        <f t="shared" si="1"/>
        <v>Thursday</v>
      </c>
      <c r="C126" s="13" t="str">
        <f>IF(D126="","",VLOOKUP(D126,Menu!$A$2:$B$105,2,0))</f>
        <v>Pizza</v>
      </c>
      <c r="D126" s="13" t="s">
        <v>11</v>
      </c>
      <c r="E126" s="13" t="s">
        <v>2</v>
      </c>
      <c r="F126" s="13">
        <v>5.0</v>
      </c>
      <c r="G126" s="13">
        <f t="array" ref="G126">IF(OR(D126="",E126=""),"",IFERROR(CHOOSE(MATCH(E126,{"S","M","L","-"},0),VLOOKUP(D126,Menu!$A$2:$F$105,3,0),VLOOKUP(D126,Menu!$A$2:$F$105,4,0),VLOOKUP(D126,Menu!$A$2:$F$105,5,0),VLOOKUP(D126,Menu!$A$2:$F$105,6,0)),"N/A"))</f>
        <v>69</v>
      </c>
      <c r="H126" s="13">
        <f t="shared" si="2"/>
        <v>345</v>
      </c>
      <c r="I126" s="13">
        <f t="shared" si="3"/>
        <v>2558</v>
      </c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2">
        <v>45183.0</v>
      </c>
      <c r="B127" s="13" t="str">
        <f t="shared" si="1"/>
        <v>Thursday</v>
      </c>
      <c r="C127" s="13" t="str">
        <f>IF(D127="","",VLOOKUP(D127,Menu!$A$2:$B$105,2,0))</f>
        <v>Pizza</v>
      </c>
      <c r="D127" s="13" t="s">
        <v>17</v>
      </c>
      <c r="E127" s="13" t="s">
        <v>3</v>
      </c>
      <c r="F127" s="13">
        <v>1.0</v>
      </c>
      <c r="G127" s="13">
        <f t="array" ref="G127">IF(OR(D127="",E127=""),"",IFERROR(CHOOSE(MATCH(E127,{"S","M","L","-"},0),VLOOKUP(D127,Menu!$A$2:$F$105,3,0),VLOOKUP(D127,Menu!$A$2:$F$105,4,0),VLOOKUP(D127,Menu!$A$2:$F$105,5,0),VLOOKUP(D127,Menu!$A$2:$F$105,6,0)),"N/A"))</f>
        <v>199</v>
      </c>
      <c r="H127" s="13">
        <f t="shared" si="2"/>
        <v>199</v>
      </c>
      <c r="I127" s="13">
        <f t="shared" si="3"/>
        <v>2558</v>
      </c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2">
        <v>45183.0</v>
      </c>
      <c r="B128" s="13" t="str">
        <f t="shared" si="1"/>
        <v>Thursday</v>
      </c>
      <c r="C128" s="13" t="str">
        <f>IF(D128="","",VLOOKUP(D128,Menu!$A$2:$B$105,2,0))</f>
        <v>Pizza</v>
      </c>
      <c r="D128" s="13" t="s">
        <v>16</v>
      </c>
      <c r="E128" s="13" t="s">
        <v>2</v>
      </c>
      <c r="F128" s="13">
        <v>1.0</v>
      </c>
      <c r="G128" s="13">
        <f t="array" ref="G128">IF(OR(D128="",E128=""),"",IFERROR(CHOOSE(MATCH(E128,{"S","M","L","-"},0),VLOOKUP(D128,Menu!$A$2:$F$105,3,0),VLOOKUP(D128,Menu!$A$2:$F$105,4,0),VLOOKUP(D128,Menu!$A$2:$F$105,5,0),VLOOKUP(D128,Menu!$A$2:$F$105,6,0)),"N/A"))</f>
        <v>109</v>
      </c>
      <c r="H128" s="13">
        <f t="shared" si="2"/>
        <v>109</v>
      </c>
      <c r="I128" s="13">
        <f t="shared" si="3"/>
        <v>2558</v>
      </c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2">
        <v>45183.0</v>
      </c>
      <c r="B129" s="13" t="str">
        <f t="shared" si="1"/>
        <v>Thursday</v>
      </c>
      <c r="C129" s="13" t="str">
        <f>IF(D129="","",VLOOKUP(D129,Menu!$A$2:$B$105,2,0))</f>
        <v>Pizza</v>
      </c>
      <c r="D129" s="13" t="s">
        <v>14</v>
      </c>
      <c r="E129" s="13" t="s">
        <v>3</v>
      </c>
      <c r="F129" s="13">
        <v>2.0</v>
      </c>
      <c r="G129" s="13">
        <f t="array" ref="G129">IF(OR(D129="",E129=""),"",IFERROR(CHOOSE(MATCH(E129,{"S","M","L","-"},0),VLOOKUP(D129,Menu!$A$2:$F$105,3,0),VLOOKUP(D129,Menu!$A$2:$F$105,4,0),VLOOKUP(D129,Menu!$A$2:$F$105,5,0),VLOOKUP(D129,Menu!$A$2:$F$105,6,0)),"N/A"))</f>
        <v>129</v>
      </c>
      <c r="H129" s="13">
        <f t="shared" si="2"/>
        <v>258</v>
      </c>
      <c r="I129" s="13">
        <f t="shared" si="3"/>
        <v>2558</v>
      </c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2">
        <v>45183.0</v>
      </c>
      <c r="B130" s="13" t="str">
        <f t="shared" si="1"/>
        <v>Thursday</v>
      </c>
      <c r="C130" s="13" t="str">
        <f>IF(D130="","",VLOOKUP(D130,Menu!$A$2:$B$105,2,0))</f>
        <v>Pizza</v>
      </c>
      <c r="D130" s="13" t="s">
        <v>21</v>
      </c>
      <c r="E130" s="13" t="s">
        <v>4</v>
      </c>
      <c r="F130" s="13">
        <v>1.0</v>
      </c>
      <c r="G130" s="13">
        <f t="array" ref="G130">IF(OR(D130="",E130=""),"",IFERROR(CHOOSE(MATCH(E130,{"S","M","L","-"},0),VLOOKUP(D130,Menu!$A$2:$F$105,3,0),VLOOKUP(D130,Menu!$A$2:$F$105,4,0),VLOOKUP(D130,Menu!$A$2:$F$105,5,0),VLOOKUP(D130,Menu!$A$2:$F$105,6,0)),"N/A"))</f>
        <v>299</v>
      </c>
      <c r="H130" s="13">
        <f t="shared" si="2"/>
        <v>299</v>
      </c>
      <c r="I130" s="13">
        <f t="shared" si="3"/>
        <v>2558</v>
      </c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2">
        <v>45183.0</v>
      </c>
      <c r="B131" s="13" t="str">
        <f t="shared" si="1"/>
        <v>Thursday</v>
      </c>
      <c r="C131" s="13" t="str">
        <f>IF(D131="","",VLOOKUP(D131,Menu!$A$2:$B$105,2,0))</f>
        <v>Pizza</v>
      </c>
      <c r="D131" s="13" t="s">
        <v>23</v>
      </c>
      <c r="E131" s="13" t="s">
        <v>4</v>
      </c>
      <c r="F131" s="13">
        <v>1.0</v>
      </c>
      <c r="G131" s="13">
        <f t="array" ref="G131">IF(OR(D131="",E131=""),"",IFERROR(CHOOSE(MATCH(E131,{"S","M","L","-"},0),VLOOKUP(D131,Menu!$A$2:$F$105,3,0),VLOOKUP(D131,Menu!$A$2:$F$105,4,0),VLOOKUP(D131,Menu!$A$2:$F$105,5,0),VLOOKUP(D131,Menu!$A$2:$F$105,6,0)),"N/A"))</f>
        <v>339</v>
      </c>
      <c r="H131" s="13">
        <f t="shared" si="2"/>
        <v>339</v>
      </c>
      <c r="I131" s="13">
        <f t="shared" si="3"/>
        <v>2558</v>
      </c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9">
        <v>45184.0</v>
      </c>
      <c r="B132" s="10" t="str">
        <f t="shared" si="1"/>
        <v>Friday</v>
      </c>
      <c r="C132" s="10" t="str">
        <f>IF(D132="","",VLOOKUP(D132,Menu!$A$2:$B$105,2,0))</f>
        <v>Beverage</v>
      </c>
      <c r="D132" s="10" t="s">
        <v>63</v>
      </c>
      <c r="E132" s="10" t="s">
        <v>5</v>
      </c>
      <c r="F132" s="10">
        <v>2.0</v>
      </c>
      <c r="G132" s="10">
        <f t="array" ref="G132">IF(OR(D132="",E132=""),"",IFERROR(CHOOSE(MATCH(E132,{"S","M","L","-"},0),VLOOKUP(D132,Menu!$A$2:$F$105,3,0),VLOOKUP(D132,Menu!$A$2:$F$105,4,0),VLOOKUP(D132,Menu!$A$2:$F$105,5,0),VLOOKUP(D132,Menu!$A$2:$F$105,6,0)),"N/A"))</f>
        <v>20</v>
      </c>
      <c r="H132" s="10">
        <f t="shared" si="2"/>
        <v>40</v>
      </c>
      <c r="I132" s="10">
        <f t="shared" si="3"/>
        <v>1731</v>
      </c>
      <c r="J132" s="1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9">
        <v>45184.0</v>
      </c>
      <c r="B133" s="10" t="str">
        <f t="shared" si="1"/>
        <v>Friday</v>
      </c>
      <c r="C133" s="10" t="str">
        <f>IF(D133="","",VLOOKUP(D133,Menu!$A$2:$B$105,2,0))</f>
        <v>Shake</v>
      </c>
      <c r="D133" s="10" t="s">
        <v>45</v>
      </c>
      <c r="E133" s="10" t="s">
        <v>5</v>
      </c>
      <c r="F133" s="10">
        <v>1.0</v>
      </c>
      <c r="G133" s="10">
        <f t="array" ref="G133">IF(OR(D133="",E133=""),"",IFERROR(CHOOSE(MATCH(E133,{"S","M","L","-"},0),VLOOKUP(D133,Menu!$A$2:$F$105,3,0),VLOOKUP(D133,Menu!$A$2:$F$105,4,0),VLOOKUP(D133,Menu!$A$2:$F$105,5,0),VLOOKUP(D133,Menu!$A$2:$F$105,6,0)),"N/A"))</f>
        <v>50</v>
      </c>
      <c r="H133" s="10">
        <f t="shared" si="2"/>
        <v>50</v>
      </c>
      <c r="I133" s="10">
        <f t="shared" si="3"/>
        <v>1731</v>
      </c>
      <c r="J133" s="1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9">
        <v>45184.0</v>
      </c>
      <c r="B134" s="10" t="str">
        <f t="shared" si="1"/>
        <v>Friday</v>
      </c>
      <c r="C134" s="10" t="str">
        <f>IF(D134="","",VLOOKUP(D134,Menu!$A$2:$B$105,2,0))</f>
        <v>Pizza</v>
      </c>
      <c r="D134" s="10" t="s">
        <v>16</v>
      </c>
      <c r="E134" s="10" t="s">
        <v>3</v>
      </c>
      <c r="F134" s="10">
        <v>1.0</v>
      </c>
      <c r="G134" s="10">
        <f t="array" ref="G134">IF(OR(D134="",E134=""),"",IFERROR(CHOOSE(MATCH(E134,{"S","M","L","-"},0),VLOOKUP(D134,Menu!$A$2:$F$105,3,0),VLOOKUP(D134,Menu!$A$2:$F$105,4,0),VLOOKUP(D134,Menu!$A$2:$F$105,5,0),VLOOKUP(D134,Menu!$A$2:$F$105,6,0)),"N/A"))</f>
        <v>199</v>
      </c>
      <c r="H134" s="10">
        <f t="shared" si="2"/>
        <v>199</v>
      </c>
      <c r="I134" s="10">
        <f t="shared" si="3"/>
        <v>1731</v>
      </c>
      <c r="J134" s="1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9">
        <v>45184.0</v>
      </c>
      <c r="B135" s="10" t="str">
        <f t="shared" si="1"/>
        <v>Friday</v>
      </c>
      <c r="C135" s="10" t="str">
        <f>IF(D135="","",VLOOKUP(D135,Menu!$A$2:$B$105,2,0))</f>
        <v>Pizza</v>
      </c>
      <c r="D135" s="10" t="s">
        <v>11</v>
      </c>
      <c r="E135" s="10" t="s">
        <v>3</v>
      </c>
      <c r="F135" s="10">
        <v>1.0</v>
      </c>
      <c r="G135" s="10">
        <f t="array" ref="G135">IF(OR(D135="",E135=""),"",IFERROR(CHOOSE(MATCH(E135,{"S","M","L","-"},0),VLOOKUP(D135,Menu!$A$2:$F$105,3,0),VLOOKUP(D135,Menu!$A$2:$F$105,4,0),VLOOKUP(D135,Menu!$A$2:$F$105,5,0),VLOOKUP(D135,Menu!$A$2:$F$105,6,0)),"N/A"))</f>
        <v>109</v>
      </c>
      <c r="H135" s="10">
        <f t="shared" si="2"/>
        <v>109</v>
      </c>
      <c r="I135" s="10">
        <f t="shared" si="3"/>
        <v>1731</v>
      </c>
      <c r="J135" s="10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9">
        <v>45184.0</v>
      </c>
      <c r="B136" s="10" t="str">
        <f t="shared" si="1"/>
        <v>Friday</v>
      </c>
      <c r="C136" s="10" t="str">
        <f>IF(D136="","",VLOOKUP(D136,Menu!$A$2:$B$105,2,0))</f>
        <v>Pizza</v>
      </c>
      <c r="D136" s="10" t="s">
        <v>23</v>
      </c>
      <c r="E136" s="10" t="s">
        <v>2</v>
      </c>
      <c r="F136" s="10">
        <v>1.0</v>
      </c>
      <c r="G136" s="10">
        <f t="array" ref="G136">IF(OR(D136="",E136=""),"",IFERROR(CHOOSE(MATCH(E136,{"S","M","L","-"},0),VLOOKUP(D136,Menu!$A$2:$F$105,3,0),VLOOKUP(D136,Menu!$A$2:$F$105,4,0),VLOOKUP(D136,Menu!$A$2:$F$105,5,0),VLOOKUP(D136,Menu!$A$2:$F$105,6,0)),"N/A"))</f>
        <v>129</v>
      </c>
      <c r="H136" s="10">
        <f t="shared" si="2"/>
        <v>129</v>
      </c>
      <c r="I136" s="10">
        <f t="shared" si="3"/>
        <v>1731</v>
      </c>
      <c r="J136" s="10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9">
        <v>45184.0</v>
      </c>
      <c r="B137" s="10" t="str">
        <f t="shared" si="1"/>
        <v>Friday</v>
      </c>
      <c r="C137" s="10" t="str">
        <f>IF(D137="","",VLOOKUP(D137,Menu!$A$2:$B$105,2,0))</f>
        <v>Dessert</v>
      </c>
      <c r="D137" s="10" t="s">
        <v>56</v>
      </c>
      <c r="E137" s="10" t="s">
        <v>5</v>
      </c>
      <c r="F137" s="10">
        <v>1.0</v>
      </c>
      <c r="G137" s="10">
        <f t="array" ref="G137">IF(OR(D137="",E137=""),"",IFERROR(CHOOSE(MATCH(E137,{"S","M","L","-"},0),VLOOKUP(D137,Menu!$A$2:$F$105,3,0),VLOOKUP(D137,Menu!$A$2:$F$105,4,0),VLOOKUP(D137,Menu!$A$2:$F$105,5,0),VLOOKUP(D137,Menu!$A$2:$F$105,6,0)),"N/A"))</f>
        <v>110</v>
      </c>
      <c r="H137" s="10">
        <f t="shared" si="2"/>
        <v>110</v>
      </c>
      <c r="I137" s="10">
        <f t="shared" si="3"/>
        <v>1731</v>
      </c>
      <c r="J137" s="1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9">
        <v>45184.0</v>
      </c>
      <c r="B138" s="10" t="str">
        <f t="shared" si="1"/>
        <v>Friday</v>
      </c>
      <c r="C138" s="10" t="str">
        <f>IF(D138="","",VLOOKUP(D138,Menu!$A$2:$B$105,2,0))</f>
        <v>Shake</v>
      </c>
      <c r="D138" s="10" t="s">
        <v>46</v>
      </c>
      <c r="E138" s="10" t="s">
        <v>5</v>
      </c>
      <c r="F138" s="10">
        <v>6.0</v>
      </c>
      <c r="G138" s="10">
        <f t="array" ref="G138">IF(OR(D138="",E138=""),"",IFERROR(CHOOSE(MATCH(E138,{"S","M","L","-"},0),VLOOKUP(D138,Menu!$A$2:$F$105,3,0),VLOOKUP(D138,Menu!$A$2:$F$105,4,0),VLOOKUP(D138,Menu!$A$2:$F$105,5,0),VLOOKUP(D138,Menu!$A$2:$F$105,6,0)),"N/A"))</f>
        <v>50</v>
      </c>
      <c r="H138" s="10">
        <f t="shared" si="2"/>
        <v>300</v>
      </c>
      <c r="I138" s="10">
        <f t="shared" si="3"/>
        <v>1731</v>
      </c>
      <c r="J138" s="10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9">
        <v>45184.0</v>
      </c>
      <c r="B139" s="10" t="str">
        <f t="shared" si="1"/>
        <v>Friday</v>
      </c>
      <c r="C139" s="10" t="str">
        <f>IF(D139="","",VLOOKUP(D139,Menu!$A$2:$B$105,2,0))</f>
        <v>Pizza</v>
      </c>
      <c r="D139" s="10" t="s">
        <v>15</v>
      </c>
      <c r="E139" s="10" t="s">
        <v>3</v>
      </c>
      <c r="F139" s="10">
        <v>1.0</v>
      </c>
      <c r="G139" s="10">
        <f t="array" ref="G139">IF(OR(D139="",E139=""),"",IFERROR(CHOOSE(MATCH(E139,{"S","M","L","-"},0),VLOOKUP(D139,Menu!$A$2:$F$105,3,0),VLOOKUP(D139,Menu!$A$2:$F$105,4,0),VLOOKUP(D139,Menu!$A$2:$F$105,5,0),VLOOKUP(D139,Menu!$A$2:$F$105,6,0)),"N/A"))</f>
        <v>149</v>
      </c>
      <c r="H139" s="10">
        <f t="shared" si="2"/>
        <v>149</v>
      </c>
      <c r="I139" s="10">
        <f t="shared" si="3"/>
        <v>1731</v>
      </c>
      <c r="J139" s="10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9">
        <v>45184.0</v>
      </c>
      <c r="B140" s="10" t="str">
        <f t="shared" si="1"/>
        <v>Friday</v>
      </c>
      <c r="C140" s="10" t="str">
        <f>IF(D140="","",VLOOKUP(D140,Menu!$A$2:$B$105,2,0))</f>
        <v>Pizza</v>
      </c>
      <c r="D140" s="10" t="s">
        <v>13</v>
      </c>
      <c r="E140" s="10" t="s">
        <v>4</v>
      </c>
      <c r="F140" s="10">
        <v>1.0</v>
      </c>
      <c r="G140" s="10">
        <f t="array" ref="G140">IF(OR(D140="",E140=""),"",IFERROR(CHOOSE(MATCH(E140,{"S","M","L","-"},0),VLOOKUP(D140,Menu!$A$2:$F$105,3,0),VLOOKUP(D140,Menu!$A$2:$F$105,4,0),VLOOKUP(D140,Menu!$A$2:$F$105,5,0),VLOOKUP(D140,Menu!$A$2:$F$105,6,0)),"N/A"))</f>
        <v>209</v>
      </c>
      <c r="H140" s="10">
        <f t="shared" si="2"/>
        <v>209</v>
      </c>
      <c r="I140" s="10">
        <f t="shared" si="3"/>
        <v>1731</v>
      </c>
      <c r="J140" s="10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9">
        <v>45184.0</v>
      </c>
      <c r="B141" s="10" t="str">
        <f t="shared" si="1"/>
        <v>Friday</v>
      </c>
      <c r="C141" s="10" t="str">
        <f>IF(D141="","",VLOOKUP(D141,Menu!$A$2:$B$105,2,0))</f>
        <v>Bread</v>
      </c>
      <c r="D141" s="10" t="s">
        <v>37</v>
      </c>
      <c r="E141" s="10" t="s">
        <v>5</v>
      </c>
      <c r="F141" s="10">
        <v>1.0</v>
      </c>
      <c r="G141" s="10">
        <f t="array" ref="G141">IF(OR(D141="",E141=""),"",IFERROR(CHOOSE(MATCH(E141,{"S","M","L","-"},0),VLOOKUP(D141,Menu!$A$2:$F$105,3,0),VLOOKUP(D141,Menu!$A$2:$F$105,4,0),VLOOKUP(D141,Menu!$A$2:$F$105,5,0),VLOOKUP(D141,Menu!$A$2:$F$105,6,0)),"N/A"))</f>
        <v>89</v>
      </c>
      <c r="H141" s="10">
        <f t="shared" si="2"/>
        <v>89</v>
      </c>
      <c r="I141" s="10">
        <f t="shared" si="3"/>
        <v>1731</v>
      </c>
      <c r="J141" s="10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9">
        <v>45184.0</v>
      </c>
      <c r="B142" s="10" t="str">
        <f t="shared" si="1"/>
        <v>Friday</v>
      </c>
      <c r="C142" s="10" t="str">
        <f>IF(D142="","",VLOOKUP(D142,Menu!$A$2:$B$105,2,0))</f>
        <v>Pizza</v>
      </c>
      <c r="D142" s="10" t="s">
        <v>8</v>
      </c>
      <c r="E142" s="10" t="s">
        <v>3</v>
      </c>
      <c r="F142" s="10">
        <v>1.0</v>
      </c>
      <c r="G142" s="10">
        <f t="array" ref="G142">IF(OR(D142="",E142=""),"",IFERROR(CHOOSE(MATCH(E142,{"S","M","L","-"},0),VLOOKUP(D142,Menu!$A$2:$F$105,3,0),VLOOKUP(D142,Menu!$A$2:$F$105,4,0),VLOOKUP(D142,Menu!$A$2:$F$105,5,0),VLOOKUP(D142,Menu!$A$2:$F$105,6,0)),"N/A"))</f>
        <v>109</v>
      </c>
      <c r="H142" s="10">
        <f t="shared" si="2"/>
        <v>109</v>
      </c>
      <c r="I142" s="10">
        <f t="shared" si="3"/>
        <v>1731</v>
      </c>
      <c r="J142" s="10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9">
        <v>45184.0</v>
      </c>
      <c r="B143" s="10" t="str">
        <f t="shared" si="1"/>
        <v>Friday</v>
      </c>
      <c r="C143" s="10" t="str">
        <f>IF(D143="","",VLOOKUP(D143,Menu!$A$2:$B$105,2,0))</f>
        <v>Burger</v>
      </c>
      <c r="D143" s="10" t="s">
        <v>27</v>
      </c>
      <c r="E143" s="10" t="s">
        <v>5</v>
      </c>
      <c r="F143" s="10">
        <v>1.0</v>
      </c>
      <c r="G143" s="10">
        <f t="array" ref="G143">IF(OR(D143="",E143=""),"",IFERROR(CHOOSE(MATCH(E143,{"S","M","L","-"},0),VLOOKUP(D143,Menu!$A$2:$F$105,3,0),VLOOKUP(D143,Menu!$A$2:$F$105,4,0),VLOOKUP(D143,Menu!$A$2:$F$105,5,0),VLOOKUP(D143,Menu!$A$2:$F$105,6,0)),"N/A"))</f>
        <v>39</v>
      </c>
      <c r="H143" s="10">
        <f t="shared" si="2"/>
        <v>39</v>
      </c>
      <c r="I143" s="10">
        <f t="shared" si="3"/>
        <v>1731</v>
      </c>
      <c r="J143" s="10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9">
        <v>45184.0</v>
      </c>
      <c r="B144" s="10" t="str">
        <f t="shared" si="1"/>
        <v>Friday</v>
      </c>
      <c r="C144" s="10" t="str">
        <f>IF(D144="","",VLOOKUP(D144,Menu!$A$2:$B$105,2,0))</f>
        <v>Pizza</v>
      </c>
      <c r="D144" s="10" t="s">
        <v>16</v>
      </c>
      <c r="E144" s="10" t="s">
        <v>3</v>
      </c>
      <c r="F144" s="10">
        <v>1.0</v>
      </c>
      <c r="G144" s="10">
        <f t="array" ref="G144">IF(OR(D144="",E144=""),"",IFERROR(CHOOSE(MATCH(E144,{"S","M","L","-"},0),VLOOKUP(D144,Menu!$A$2:$F$105,3,0),VLOOKUP(D144,Menu!$A$2:$F$105,4,0),VLOOKUP(D144,Menu!$A$2:$F$105,5,0),VLOOKUP(D144,Menu!$A$2:$F$105,6,0)),"N/A"))</f>
        <v>199</v>
      </c>
      <c r="H144" s="10">
        <f t="shared" si="2"/>
        <v>199</v>
      </c>
      <c r="I144" s="10">
        <f t="shared" si="3"/>
        <v>1731</v>
      </c>
      <c r="J144" s="10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2">
        <v>45185.0</v>
      </c>
      <c r="B145" s="13" t="str">
        <f t="shared" si="1"/>
        <v>Saturday</v>
      </c>
      <c r="C145" s="13" t="str">
        <f>IF(D145="","",VLOOKUP(D145,Menu!$A$2:$B$105,2,0))</f>
        <v>Beverage</v>
      </c>
      <c r="D145" s="13" t="s">
        <v>63</v>
      </c>
      <c r="E145" s="13" t="s">
        <v>5</v>
      </c>
      <c r="F145" s="13">
        <v>4.0</v>
      </c>
      <c r="G145" s="13">
        <f t="array" ref="G145">IF(OR(D145="",E145=""),"",IFERROR(CHOOSE(MATCH(E145,{"S","M","L","-"},0),VLOOKUP(D145,Menu!$A$2:$F$105,3,0),VLOOKUP(D145,Menu!$A$2:$F$105,4,0),VLOOKUP(D145,Menu!$A$2:$F$105,5,0),VLOOKUP(D145,Menu!$A$2:$F$105,6,0)),"N/A"))</f>
        <v>20</v>
      </c>
      <c r="H145" s="13">
        <f t="shared" si="2"/>
        <v>80</v>
      </c>
      <c r="I145" s="13">
        <f t="shared" si="3"/>
        <v>1072</v>
      </c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2">
        <v>45185.0</v>
      </c>
      <c r="B146" s="13" t="str">
        <f t="shared" si="1"/>
        <v>Saturday</v>
      </c>
      <c r="C146" s="13" t="str">
        <f>IF(D146="","",VLOOKUP(D146,Menu!$A$2:$B$105,2,0))</f>
        <v>Pizza</v>
      </c>
      <c r="D146" s="13" t="s">
        <v>15</v>
      </c>
      <c r="E146" s="13" t="s">
        <v>4</v>
      </c>
      <c r="F146" s="13">
        <v>1.0</v>
      </c>
      <c r="G146" s="13">
        <f t="array" ref="G146">IF(OR(D146="",E146=""),"",IFERROR(CHOOSE(MATCH(E146,{"S","M","L","-"},0),VLOOKUP(D146,Menu!$A$2:$F$105,3,0),VLOOKUP(D146,Menu!$A$2:$F$105,4,0),VLOOKUP(D146,Menu!$A$2:$F$105,5,0),VLOOKUP(D146,Menu!$A$2:$F$105,6,0)),"N/A"))</f>
        <v>249</v>
      </c>
      <c r="H146" s="13">
        <f t="shared" si="2"/>
        <v>249</v>
      </c>
      <c r="I146" s="13">
        <f t="shared" si="3"/>
        <v>1072</v>
      </c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2">
        <v>45185.0</v>
      </c>
      <c r="B147" s="13" t="str">
        <f t="shared" si="1"/>
        <v>Saturday</v>
      </c>
      <c r="C147" s="13" t="str">
        <f>IF(D147="","",VLOOKUP(D147,Menu!$A$2:$B$105,2,0))</f>
        <v>Pizza</v>
      </c>
      <c r="D147" s="13" t="s">
        <v>16</v>
      </c>
      <c r="E147" s="13" t="s">
        <v>4</v>
      </c>
      <c r="F147" s="13">
        <v>1.0</v>
      </c>
      <c r="G147" s="13">
        <f t="array" ref="G147">IF(OR(D147="",E147=""),"",IFERROR(CHOOSE(MATCH(E147,{"S","M","L","-"},0),VLOOKUP(D147,Menu!$A$2:$F$105,3,0),VLOOKUP(D147,Menu!$A$2:$F$105,4,0),VLOOKUP(D147,Menu!$A$2:$F$105,5,0),VLOOKUP(D147,Menu!$A$2:$F$105,6,0)),"N/A"))</f>
        <v>289</v>
      </c>
      <c r="H147" s="13">
        <f t="shared" si="2"/>
        <v>289</v>
      </c>
      <c r="I147" s="13">
        <f t="shared" si="3"/>
        <v>1072</v>
      </c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2">
        <v>45185.0</v>
      </c>
      <c r="B148" s="13" t="str">
        <f t="shared" si="1"/>
        <v>Saturday</v>
      </c>
      <c r="C148" s="13" t="str">
        <f>IF(D148="","",VLOOKUP(D148,Menu!$A$2:$B$105,2,0))</f>
        <v>Burger</v>
      </c>
      <c r="D148" s="13" t="s">
        <v>27</v>
      </c>
      <c r="E148" s="13" t="s">
        <v>5</v>
      </c>
      <c r="F148" s="13">
        <v>2.0</v>
      </c>
      <c r="G148" s="13">
        <f t="array" ref="G148">IF(OR(D148="",E148=""),"",IFERROR(CHOOSE(MATCH(E148,{"S","M","L","-"},0),VLOOKUP(D148,Menu!$A$2:$F$105,3,0),VLOOKUP(D148,Menu!$A$2:$F$105,4,0),VLOOKUP(D148,Menu!$A$2:$F$105,5,0),VLOOKUP(D148,Menu!$A$2:$F$105,6,0)),"N/A"))</f>
        <v>39</v>
      </c>
      <c r="H148" s="13">
        <f t="shared" si="2"/>
        <v>78</v>
      </c>
      <c r="I148" s="13">
        <f t="shared" si="3"/>
        <v>1072</v>
      </c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2">
        <v>45185.0</v>
      </c>
      <c r="B149" s="13" t="str">
        <f t="shared" si="1"/>
        <v>Saturday</v>
      </c>
      <c r="C149" s="13" t="str">
        <f>IF(D149="","",VLOOKUP(D149,Menu!$A$2:$B$105,2,0))</f>
        <v>Burger</v>
      </c>
      <c r="D149" s="13" t="s">
        <v>29</v>
      </c>
      <c r="E149" s="13" t="s">
        <v>5</v>
      </c>
      <c r="F149" s="13">
        <v>2.0</v>
      </c>
      <c r="G149" s="13">
        <f t="array" ref="G149">IF(OR(D149="",E149=""),"",IFERROR(CHOOSE(MATCH(E149,{"S","M","L","-"},0),VLOOKUP(D149,Menu!$A$2:$F$105,3,0),VLOOKUP(D149,Menu!$A$2:$F$105,4,0),VLOOKUP(D149,Menu!$A$2:$F$105,5,0),VLOOKUP(D149,Menu!$A$2:$F$105,6,0)),"N/A"))</f>
        <v>59</v>
      </c>
      <c r="H149" s="13">
        <f t="shared" si="2"/>
        <v>118</v>
      </c>
      <c r="I149" s="13">
        <f t="shared" si="3"/>
        <v>1072</v>
      </c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2">
        <v>45185.0</v>
      </c>
      <c r="B150" s="13" t="str">
        <f t="shared" si="1"/>
        <v>Saturday</v>
      </c>
      <c r="C150" s="13" t="str">
        <f>IF(D150="","",VLOOKUP(D150,Menu!$A$2:$B$105,2,0))</f>
        <v>Beverage</v>
      </c>
      <c r="D150" s="13" t="s">
        <v>65</v>
      </c>
      <c r="E150" s="13" t="s">
        <v>5</v>
      </c>
      <c r="F150" s="13">
        <v>2.0</v>
      </c>
      <c r="G150" s="13">
        <f t="array" ref="G150">IF(OR(D150="",E150=""),"",IFERROR(CHOOSE(MATCH(E150,{"S","M","L","-"},0),VLOOKUP(D150,Menu!$A$2:$F$105,3,0),VLOOKUP(D150,Menu!$A$2:$F$105,4,0),VLOOKUP(D150,Menu!$A$2:$F$105,5,0),VLOOKUP(D150,Menu!$A$2:$F$105,6,0)),"N/A"))</f>
        <v>20</v>
      </c>
      <c r="H150" s="13">
        <f t="shared" si="2"/>
        <v>40</v>
      </c>
      <c r="I150" s="13">
        <f t="shared" si="3"/>
        <v>1072</v>
      </c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2">
        <v>45185.0</v>
      </c>
      <c r="B151" s="13" t="str">
        <f t="shared" si="1"/>
        <v>Saturday</v>
      </c>
      <c r="C151" s="13" t="str">
        <f>IF(D151="","",VLOOKUP(D151,Menu!$A$2:$B$105,2,0))</f>
        <v>Pizza</v>
      </c>
      <c r="D151" s="13" t="s">
        <v>26</v>
      </c>
      <c r="E151" s="13" t="s">
        <v>5</v>
      </c>
      <c r="F151" s="13">
        <v>1.0</v>
      </c>
      <c r="G151" s="13">
        <f t="array" ref="G151">IF(OR(D151="",E151=""),"",IFERROR(CHOOSE(MATCH(E151,{"S","M","L","-"},0),VLOOKUP(D151,Menu!$A$2:$F$105,3,0),VLOOKUP(D151,Menu!$A$2:$F$105,4,0),VLOOKUP(D151,Menu!$A$2:$F$105,5,0),VLOOKUP(D151,Menu!$A$2:$F$105,6,0)),"N/A"))</f>
        <v>99</v>
      </c>
      <c r="H151" s="13">
        <f t="shared" si="2"/>
        <v>99</v>
      </c>
      <c r="I151" s="13">
        <f t="shared" si="3"/>
        <v>1072</v>
      </c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2">
        <v>45185.0</v>
      </c>
      <c r="B152" s="13" t="str">
        <f t="shared" si="1"/>
        <v>Saturday</v>
      </c>
      <c r="C152" s="13" t="str">
        <f>IF(D152="","",VLOOKUP(D152,Menu!$A$2:$B$105,2,0))</f>
        <v>Pizza</v>
      </c>
      <c r="D152" s="13" t="s">
        <v>6</v>
      </c>
      <c r="E152" s="13" t="s">
        <v>2</v>
      </c>
      <c r="F152" s="13">
        <v>1.0</v>
      </c>
      <c r="G152" s="13">
        <f t="array" ref="G152">IF(OR(D152="",E152=""),"",IFERROR(CHOOSE(MATCH(E152,{"S","M","L","-"},0),VLOOKUP(D152,Menu!$A$2:$F$105,3,0),VLOOKUP(D152,Menu!$A$2:$F$105,4,0),VLOOKUP(D152,Menu!$A$2:$F$105,5,0),VLOOKUP(D152,Menu!$A$2:$F$105,6,0)),"N/A"))</f>
        <v>49</v>
      </c>
      <c r="H152" s="13">
        <f t="shared" si="2"/>
        <v>49</v>
      </c>
      <c r="I152" s="13">
        <f t="shared" si="3"/>
        <v>1072</v>
      </c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2">
        <v>45185.0</v>
      </c>
      <c r="B153" s="13" t="str">
        <f t="shared" si="1"/>
        <v>Saturday</v>
      </c>
      <c r="C153" s="13" t="str">
        <f>IF(D153="","",VLOOKUP(D153,Menu!$A$2:$B$105,2,0))</f>
        <v>Shake</v>
      </c>
      <c r="D153" s="13" t="s">
        <v>41</v>
      </c>
      <c r="E153" s="13" t="s">
        <v>5</v>
      </c>
      <c r="F153" s="13">
        <v>1.0</v>
      </c>
      <c r="G153" s="13">
        <f t="array" ref="G153">IF(OR(D153="",E153=""),"",IFERROR(CHOOSE(MATCH(E153,{"S","M","L","-"},0),VLOOKUP(D153,Menu!$A$2:$F$105,3,0),VLOOKUP(D153,Menu!$A$2:$F$105,4,0),VLOOKUP(D153,Menu!$A$2:$F$105,5,0),VLOOKUP(D153,Menu!$A$2:$F$105,6,0)),"N/A"))</f>
        <v>70</v>
      </c>
      <c r="H153" s="13">
        <f t="shared" si="2"/>
        <v>70</v>
      </c>
      <c r="I153" s="13">
        <f t="shared" si="3"/>
        <v>1072</v>
      </c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9">
        <v>45186.0</v>
      </c>
      <c r="B154" s="10" t="str">
        <f t="shared" si="1"/>
        <v>Sunday</v>
      </c>
      <c r="C154" s="10" t="str">
        <f>IF(D154="","",VLOOKUP(D154,Menu!$A$2:$B$105,2,0))</f>
        <v>Shake</v>
      </c>
      <c r="D154" s="10" t="s">
        <v>46</v>
      </c>
      <c r="E154" s="10" t="s">
        <v>5</v>
      </c>
      <c r="F154" s="10">
        <v>6.0</v>
      </c>
      <c r="G154" s="10">
        <f t="array" ref="G154">IF(OR(D154="",E154=""),"",IFERROR(CHOOSE(MATCH(E154,{"S","M","L","-"},0),VLOOKUP(D154,Menu!$A$2:$F$105,3,0),VLOOKUP(D154,Menu!$A$2:$F$105,4,0),VLOOKUP(D154,Menu!$A$2:$F$105,5,0),VLOOKUP(D154,Menu!$A$2:$F$105,6,0)),"N/A"))</f>
        <v>50</v>
      </c>
      <c r="H154" s="10">
        <f t="shared" si="2"/>
        <v>300</v>
      </c>
      <c r="I154" s="10">
        <f t="shared" si="3"/>
        <v>1659</v>
      </c>
      <c r="J154" s="10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9">
        <v>45186.0</v>
      </c>
      <c r="B155" s="10" t="str">
        <f t="shared" si="1"/>
        <v>Sunday</v>
      </c>
      <c r="C155" s="10" t="str">
        <f>IF(D155="","",VLOOKUP(D155,Menu!$A$2:$B$105,2,0))</f>
        <v>Beverage</v>
      </c>
      <c r="D155" s="10" t="s">
        <v>63</v>
      </c>
      <c r="E155" s="10" t="s">
        <v>5</v>
      </c>
      <c r="F155" s="10">
        <v>1.0</v>
      </c>
      <c r="G155" s="10">
        <f t="array" ref="G155">IF(OR(D155="",E155=""),"",IFERROR(CHOOSE(MATCH(E155,{"S","M","L","-"},0),VLOOKUP(D155,Menu!$A$2:$F$105,3,0),VLOOKUP(D155,Menu!$A$2:$F$105,4,0),VLOOKUP(D155,Menu!$A$2:$F$105,5,0),VLOOKUP(D155,Menu!$A$2:$F$105,6,0)),"N/A"))</f>
        <v>20</v>
      </c>
      <c r="H155" s="10">
        <f t="shared" si="2"/>
        <v>20</v>
      </c>
      <c r="I155" s="10">
        <f t="shared" si="3"/>
        <v>1659</v>
      </c>
      <c r="J155" s="10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9">
        <v>45186.0</v>
      </c>
      <c r="B156" s="10" t="str">
        <f t="shared" si="1"/>
        <v>Sunday</v>
      </c>
      <c r="C156" s="10" t="str">
        <f>IF(D156="","",VLOOKUP(D156,Menu!$A$2:$B$105,2,0))</f>
        <v>Pizza</v>
      </c>
      <c r="D156" s="10" t="s">
        <v>26</v>
      </c>
      <c r="E156" s="10" t="s">
        <v>5</v>
      </c>
      <c r="F156" s="10">
        <v>1.0</v>
      </c>
      <c r="G156" s="10">
        <f t="array" ref="G156">IF(OR(D156="",E156=""),"",IFERROR(CHOOSE(MATCH(E156,{"S","M","L","-"},0),VLOOKUP(D156,Menu!$A$2:$F$105,3,0),VLOOKUP(D156,Menu!$A$2:$F$105,4,0),VLOOKUP(D156,Menu!$A$2:$F$105,5,0),VLOOKUP(D156,Menu!$A$2:$F$105,6,0)),"N/A"))</f>
        <v>99</v>
      </c>
      <c r="H156" s="10">
        <f t="shared" si="2"/>
        <v>99</v>
      </c>
      <c r="I156" s="10">
        <f t="shared" si="3"/>
        <v>1659</v>
      </c>
      <c r="J156" s="10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9">
        <v>45186.0</v>
      </c>
      <c r="B157" s="10" t="str">
        <f t="shared" si="1"/>
        <v>Sunday</v>
      </c>
      <c r="C157" s="10" t="str">
        <f>IF(D157="","",VLOOKUP(D157,Menu!$A$2:$B$105,2,0))</f>
        <v>Shake</v>
      </c>
      <c r="D157" s="10" t="s">
        <v>45</v>
      </c>
      <c r="E157" s="10" t="s">
        <v>5</v>
      </c>
      <c r="F157" s="10">
        <v>1.0</v>
      </c>
      <c r="G157" s="10">
        <f t="array" ref="G157">IF(OR(D157="",E157=""),"",IFERROR(CHOOSE(MATCH(E157,{"S","M","L","-"},0),VLOOKUP(D157,Menu!$A$2:$F$105,3,0),VLOOKUP(D157,Menu!$A$2:$F$105,4,0),VLOOKUP(D157,Menu!$A$2:$F$105,5,0),VLOOKUP(D157,Menu!$A$2:$F$105,6,0)),"N/A"))</f>
        <v>50</v>
      </c>
      <c r="H157" s="10">
        <f t="shared" si="2"/>
        <v>50</v>
      </c>
      <c r="I157" s="10">
        <f t="shared" si="3"/>
        <v>1659</v>
      </c>
      <c r="J157" s="10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9">
        <v>45186.0</v>
      </c>
      <c r="B158" s="10" t="str">
        <f t="shared" si="1"/>
        <v>Sunday</v>
      </c>
      <c r="C158" s="10" t="str">
        <f>IF(D158="","",VLOOKUP(D158,Menu!$A$2:$B$105,2,0))</f>
        <v>Dessert</v>
      </c>
      <c r="D158" s="10" t="s">
        <v>56</v>
      </c>
      <c r="E158" s="10" t="s">
        <v>5</v>
      </c>
      <c r="F158" s="10">
        <v>2.0</v>
      </c>
      <c r="G158" s="10">
        <f t="array" ref="G158">IF(OR(D158="",E158=""),"",IFERROR(CHOOSE(MATCH(E158,{"S","M","L","-"},0),VLOOKUP(D158,Menu!$A$2:$F$105,3,0),VLOOKUP(D158,Menu!$A$2:$F$105,4,0),VLOOKUP(D158,Menu!$A$2:$F$105,5,0),VLOOKUP(D158,Menu!$A$2:$F$105,6,0)),"N/A"))</f>
        <v>110</v>
      </c>
      <c r="H158" s="10">
        <f t="shared" si="2"/>
        <v>220</v>
      </c>
      <c r="I158" s="10">
        <f t="shared" si="3"/>
        <v>1659</v>
      </c>
      <c r="J158" s="10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9">
        <v>45186.0</v>
      </c>
      <c r="B159" s="10" t="str">
        <f t="shared" si="1"/>
        <v>Sunday</v>
      </c>
      <c r="C159" s="10" t="str">
        <f>IF(D159="","",VLOOKUP(D159,Menu!$A$2:$B$105,2,0))</f>
        <v>Pizza</v>
      </c>
      <c r="D159" s="10" t="s">
        <v>15</v>
      </c>
      <c r="E159" s="10" t="s">
        <v>3</v>
      </c>
      <c r="F159" s="10">
        <v>1.0</v>
      </c>
      <c r="G159" s="10">
        <f t="array" ref="G159">IF(OR(D159="",E159=""),"",IFERROR(CHOOSE(MATCH(E159,{"S","M","L","-"},0),VLOOKUP(D159,Menu!$A$2:$F$105,3,0),VLOOKUP(D159,Menu!$A$2:$F$105,4,0),VLOOKUP(D159,Menu!$A$2:$F$105,5,0),VLOOKUP(D159,Menu!$A$2:$F$105,6,0)),"N/A"))</f>
        <v>149</v>
      </c>
      <c r="H159" s="10">
        <f t="shared" si="2"/>
        <v>149</v>
      </c>
      <c r="I159" s="10">
        <f t="shared" si="3"/>
        <v>1659</v>
      </c>
      <c r="J159" s="10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9">
        <v>45186.0</v>
      </c>
      <c r="B160" s="10" t="str">
        <f t="shared" si="1"/>
        <v>Sunday</v>
      </c>
      <c r="C160" s="10" t="str">
        <f>IF(D160="","",VLOOKUP(D160,Menu!$A$2:$B$105,2,0))</f>
        <v>Pizza</v>
      </c>
      <c r="D160" s="10" t="s">
        <v>17</v>
      </c>
      <c r="E160" s="10" t="s">
        <v>3</v>
      </c>
      <c r="F160" s="10">
        <v>1.0</v>
      </c>
      <c r="G160" s="10">
        <f t="array" ref="G160">IF(OR(D160="",E160=""),"",IFERROR(CHOOSE(MATCH(E160,{"S","M","L","-"},0),VLOOKUP(D160,Menu!$A$2:$F$105,3,0),VLOOKUP(D160,Menu!$A$2:$F$105,4,0),VLOOKUP(D160,Menu!$A$2:$F$105,5,0),VLOOKUP(D160,Menu!$A$2:$F$105,6,0)),"N/A"))</f>
        <v>199</v>
      </c>
      <c r="H160" s="10">
        <f t="shared" si="2"/>
        <v>199</v>
      </c>
      <c r="I160" s="10">
        <f t="shared" si="3"/>
        <v>1659</v>
      </c>
      <c r="J160" s="1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9">
        <v>45186.0</v>
      </c>
      <c r="B161" s="10" t="str">
        <f t="shared" si="1"/>
        <v>Sunday</v>
      </c>
      <c r="C161" s="10" t="str">
        <f>IF(D161="","",VLOOKUP(D161,Menu!$A$2:$B$105,2,0))</f>
        <v>Pizza</v>
      </c>
      <c r="D161" s="10" t="s">
        <v>10</v>
      </c>
      <c r="E161" s="10" t="s">
        <v>3</v>
      </c>
      <c r="F161" s="10">
        <v>1.0</v>
      </c>
      <c r="G161" s="10">
        <f t="array" ref="G161">IF(OR(D161="",E161=""),"",IFERROR(CHOOSE(MATCH(E161,{"S","M","L","-"},0),VLOOKUP(D161,Menu!$A$2:$F$105,3,0),VLOOKUP(D161,Menu!$A$2:$F$105,4,0),VLOOKUP(D161,Menu!$A$2:$F$105,5,0),VLOOKUP(D161,Menu!$A$2:$F$105,6,0)),"N/A"))</f>
        <v>109</v>
      </c>
      <c r="H161" s="10">
        <f t="shared" si="2"/>
        <v>109</v>
      </c>
      <c r="I161" s="10">
        <f t="shared" si="3"/>
        <v>1659</v>
      </c>
      <c r="J161" s="1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9">
        <v>45186.0</v>
      </c>
      <c r="B162" s="10" t="str">
        <f t="shared" si="1"/>
        <v>Sunday</v>
      </c>
      <c r="C162" s="10" t="str">
        <f>IF(D162="","",VLOOKUP(D162,Menu!$A$2:$B$105,2,0))</f>
        <v>Pizza</v>
      </c>
      <c r="D162" s="10" t="s">
        <v>17</v>
      </c>
      <c r="E162" s="10" t="s">
        <v>2</v>
      </c>
      <c r="F162" s="10">
        <v>1.0</v>
      </c>
      <c r="G162" s="10">
        <f t="array" ref="G162">IF(OR(D162="",E162=""),"",IFERROR(CHOOSE(MATCH(E162,{"S","M","L","-"},0),VLOOKUP(D162,Menu!$A$2:$F$105,3,0),VLOOKUP(D162,Menu!$A$2:$F$105,4,0),VLOOKUP(D162,Menu!$A$2:$F$105,5,0),VLOOKUP(D162,Menu!$A$2:$F$105,6,0)),"N/A"))</f>
        <v>109</v>
      </c>
      <c r="H162" s="10">
        <f t="shared" si="2"/>
        <v>109</v>
      </c>
      <c r="I162" s="10">
        <f t="shared" si="3"/>
        <v>1659</v>
      </c>
      <c r="J162" s="10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9">
        <v>45186.0</v>
      </c>
      <c r="B163" s="10" t="str">
        <f t="shared" si="1"/>
        <v>Sunday</v>
      </c>
      <c r="C163" s="10" t="str">
        <f>IF(D163="","",VLOOKUP(D163,Menu!$A$2:$B$105,2,0))</f>
        <v>Pizza</v>
      </c>
      <c r="D163" s="10" t="s">
        <v>18</v>
      </c>
      <c r="E163" s="10" t="s">
        <v>2</v>
      </c>
      <c r="F163" s="10">
        <v>1.0</v>
      </c>
      <c r="G163" s="10">
        <f t="array" ref="G163">IF(OR(D163="",E163=""),"",IFERROR(CHOOSE(MATCH(E163,{"S","M","L","-"},0),VLOOKUP(D163,Menu!$A$2:$F$105,3,0),VLOOKUP(D163,Menu!$A$2:$F$105,4,0),VLOOKUP(D163,Menu!$A$2:$F$105,5,0),VLOOKUP(D163,Menu!$A$2:$F$105,6,0)),"N/A"))</f>
        <v>109</v>
      </c>
      <c r="H163" s="10">
        <f t="shared" si="2"/>
        <v>109</v>
      </c>
      <c r="I163" s="10">
        <f t="shared" si="3"/>
        <v>1659</v>
      </c>
      <c r="J163" s="1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9">
        <v>45186.0</v>
      </c>
      <c r="B164" s="10" t="str">
        <f t="shared" si="1"/>
        <v>Sunday</v>
      </c>
      <c r="C164" s="10" t="str">
        <f>IF(D164="","",VLOOKUP(D164,Menu!$A$2:$B$105,2,0))</f>
        <v>Pizza</v>
      </c>
      <c r="D164" s="10" t="s">
        <v>11</v>
      </c>
      <c r="E164" s="10" t="s">
        <v>2</v>
      </c>
      <c r="F164" s="10">
        <v>1.0</v>
      </c>
      <c r="G164" s="10">
        <f t="array" ref="G164">IF(OR(D164="",E164=""),"",IFERROR(CHOOSE(MATCH(E164,{"S","M","L","-"},0),VLOOKUP(D164,Menu!$A$2:$F$105,3,0),VLOOKUP(D164,Menu!$A$2:$F$105,4,0),VLOOKUP(D164,Menu!$A$2:$F$105,5,0),VLOOKUP(D164,Menu!$A$2:$F$105,6,0)),"N/A"))</f>
        <v>69</v>
      </c>
      <c r="H164" s="10">
        <f t="shared" si="2"/>
        <v>69</v>
      </c>
      <c r="I164" s="10">
        <f t="shared" si="3"/>
        <v>1659</v>
      </c>
      <c r="J164" s="1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9">
        <v>45186.0</v>
      </c>
      <c r="B165" s="10" t="str">
        <f t="shared" si="1"/>
        <v>Sunday</v>
      </c>
      <c r="C165" s="10" t="str">
        <f>IF(D165="","",VLOOKUP(D165,Menu!$A$2:$B$105,2,0))</f>
        <v>Burger</v>
      </c>
      <c r="D165" s="10" t="s">
        <v>27</v>
      </c>
      <c r="E165" s="10" t="s">
        <v>5</v>
      </c>
      <c r="F165" s="10">
        <v>2.0</v>
      </c>
      <c r="G165" s="10">
        <f t="array" ref="G165">IF(OR(D165="",E165=""),"",IFERROR(CHOOSE(MATCH(E165,{"S","M","L","-"},0),VLOOKUP(D165,Menu!$A$2:$F$105,3,0),VLOOKUP(D165,Menu!$A$2:$F$105,4,0),VLOOKUP(D165,Menu!$A$2:$F$105,5,0),VLOOKUP(D165,Menu!$A$2:$F$105,6,0)),"N/A"))</f>
        <v>39</v>
      </c>
      <c r="H165" s="10">
        <f t="shared" si="2"/>
        <v>78</v>
      </c>
      <c r="I165" s="10">
        <f t="shared" si="3"/>
        <v>1659</v>
      </c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9">
        <v>45186.0</v>
      </c>
      <c r="B166" s="10" t="str">
        <f t="shared" si="1"/>
        <v>Sunday</v>
      </c>
      <c r="C166" s="10" t="str">
        <f>IF(D166="","",VLOOKUP(D166,Menu!$A$2:$B$105,2,0))</f>
        <v>Pizza</v>
      </c>
      <c r="D166" s="10" t="s">
        <v>15</v>
      </c>
      <c r="E166" s="10" t="s">
        <v>2</v>
      </c>
      <c r="F166" s="10">
        <v>1.0</v>
      </c>
      <c r="G166" s="10">
        <f t="array" ref="G166">IF(OR(D166="",E166=""),"",IFERROR(CHOOSE(MATCH(E166,{"S","M","L","-"},0),VLOOKUP(D166,Menu!$A$2:$F$105,3,0),VLOOKUP(D166,Menu!$A$2:$F$105,4,0),VLOOKUP(D166,Menu!$A$2:$F$105,5,0),VLOOKUP(D166,Menu!$A$2:$F$105,6,0)),"N/A"))</f>
        <v>99</v>
      </c>
      <c r="H166" s="10">
        <f t="shared" si="2"/>
        <v>99</v>
      </c>
      <c r="I166" s="10">
        <f t="shared" si="3"/>
        <v>1659</v>
      </c>
      <c r="J166" s="1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9">
        <v>45186.0</v>
      </c>
      <c r="B167" s="10" t="str">
        <f t="shared" si="1"/>
        <v>Sunday</v>
      </c>
      <c r="C167" s="10" t="str">
        <f>IF(D167="","",VLOOKUP(D167,Menu!$A$2:$B$105,2,0))</f>
        <v>Bread</v>
      </c>
      <c r="D167" s="10" t="s">
        <v>35</v>
      </c>
      <c r="E167" s="10" t="s">
        <v>5</v>
      </c>
      <c r="F167" s="10">
        <v>1.0</v>
      </c>
      <c r="G167" s="10">
        <f t="array" ref="G167">IF(OR(D167="",E167=""),"",IFERROR(CHOOSE(MATCH(E167,{"S","M","L","-"},0),VLOOKUP(D167,Menu!$A$2:$F$105,3,0),VLOOKUP(D167,Menu!$A$2:$F$105,4,0),VLOOKUP(D167,Menu!$A$2:$F$105,5,0),VLOOKUP(D167,Menu!$A$2:$F$105,6,0)),"N/A"))</f>
        <v>49</v>
      </c>
      <c r="H167" s="10">
        <f t="shared" si="2"/>
        <v>49</v>
      </c>
      <c r="I167" s="10">
        <f t="shared" si="3"/>
        <v>1659</v>
      </c>
      <c r="J167" s="1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2">
        <v>45187.0</v>
      </c>
      <c r="B168" s="13" t="str">
        <f t="shared" si="1"/>
        <v>Monday</v>
      </c>
      <c r="C168" s="13" t="str">
        <f>IF(D168="","",VLOOKUP(D168,Menu!$A$2:$B$105,2,0))</f>
        <v>Pizza</v>
      </c>
      <c r="D168" s="13" t="s">
        <v>26</v>
      </c>
      <c r="E168" s="13" t="s">
        <v>5</v>
      </c>
      <c r="F168" s="13">
        <v>3.0</v>
      </c>
      <c r="G168" s="13">
        <f t="array" ref="G168">IF(OR(D168="",E168=""),"",IFERROR(CHOOSE(MATCH(E168,{"S","M","L","-"},0),VLOOKUP(D168,Menu!$A$2:$F$105,3,0),VLOOKUP(D168,Menu!$A$2:$F$105,4,0),VLOOKUP(D168,Menu!$A$2:$F$105,5,0),VLOOKUP(D168,Menu!$A$2:$F$105,6,0)),"N/A"))</f>
        <v>99</v>
      </c>
      <c r="H168" s="13">
        <f t="shared" si="2"/>
        <v>297</v>
      </c>
      <c r="I168" s="13">
        <f t="shared" si="3"/>
        <v>586</v>
      </c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2">
        <v>45187.0</v>
      </c>
      <c r="B169" s="13" t="str">
        <f t="shared" si="1"/>
        <v>Monday</v>
      </c>
      <c r="C169" s="13" t="str">
        <f>IF(D169="","",VLOOKUP(D169,Menu!$A$2:$B$105,2,0))</f>
        <v>Shake</v>
      </c>
      <c r="D169" s="13" t="s">
        <v>46</v>
      </c>
      <c r="E169" s="13" t="s">
        <v>5</v>
      </c>
      <c r="F169" s="13">
        <v>1.0</v>
      </c>
      <c r="G169" s="13">
        <f t="array" ref="G169">IF(OR(D169="",E169=""),"",IFERROR(CHOOSE(MATCH(E169,{"S","M","L","-"},0),VLOOKUP(D169,Menu!$A$2:$F$105,3,0),VLOOKUP(D169,Menu!$A$2:$F$105,4,0),VLOOKUP(D169,Menu!$A$2:$F$105,5,0),VLOOKUP(D169,Menu!$A$2:$F$105,6,0)),"N/A"))</f>
        <v>50</v>
      </c>
      <c r="H169" s="13">
        <f t="shared" si="2"/>
        <v>50</v>
      </c>
      <c r="I169" s="13">
        <f t="shared" si="3"/>
        <v>586</v>
      </c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2">
        <v>45187.0</v>
      </c>
      <c r="B170" s="13" t="str">
        <f t="shared" si="1"/>
        <v>Monday</v>
      </c>
      <c r="C170" s="13" t="str">
        <f>IF(D170="","",VLOOKUP(D170,Menu!$A$2:$B$105,2,0))</f>
        <v>Beverage</v>
      </c>
      <c r="D170" s="13" t="s">
        <v>63</v>
      </c>
      <c r="E170" s="13" t="s">
        <v>5</v>
      </c>
      <c r="F170" s="13">
        <v>2.0</v>
      </c>
      <c r="G170" s="13">
        <f t="array" ref="G170">IF(OR(D170="",E170=""),"",IFERROR(CHOOSE(MATCH(E170,{"S","M","L","-"},0),VLOOKUP(D170,Menu!$A$2:$F$105,3,0),VLOOKUP(D170,Menu!$A$2:$F$105,4,0),VLOOKUP(D170,Menu!$A$2:$F$105,5,0),VLOOKUP(D170,Menu!$A$2:$F$105,6,0)),"N/A"))</f>
        <v>20</v>
      </c>
      <c r="H170" s="13">
        <f t="shared" si="2"/>
        <v>40</v>
      </c>
      <c r="I170" s="13">
        <f t="shared" si="3"/>
        <v>586</v>
      </c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2">
        <v>45187.0</v>
      </c>
      <c r="B171" s="13" t="str">
        <f t="shared" si="1"/>
        <v>Monday</v>
      </c>
      <c r="C171" s="13" t="str">
        <f>IF(D171="","",VLOOKUP(D171,Menu!$A$2:$B$105,2,0))</f>
        <v>Pizza</v>
      </c>
      <c r="D171" s="13" t="s">
        <v>15</v>
      </c>
      <c r="E171" s="13" t="s">
        <v>2</v>
      </c>
      <c r="F171" s="13">
        <v>1.0</v>
      </c>
      <c r="G171" s="13">
        <f t="array" ref="G171">IF(OR(D171="",E171=""),"",IFERROR(CHOOSE(MATCH(E171,{"S","M","L","-"},0),VLOOKUP(D171,Menu!$A$2:$F$105,3,0),VLOOKUP(D171,Menu!$A$2:$F$105,4,0),VLOOKUP(D171,Menu!$A$2:$F$105,5,0),VLOOKUP(D171,Menu!$A$2:$F$105,6,0)),"N/A"))</f>
        <v>99</v>
      </c>
      <c r="H171" s="13">
        <f t="shared" si="2"/>
        <v>99</v>
      </c>
      <c r="I171" s="13">
        <f t="shared" si="3"/>
        <v>586</v>
      </c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2">
        <v>45187.0</v>
      </c>
      <c r="B172" s="13" t="str">
        <f t="shared" si="1"/>
        <v>Monday</v>
      </c>
      <c r="C172" s="13" t="str">
        <f>IF(D172="","",VLOOKUP(D172,Menu!$A$2:$B$105,2,0))</f>
        <v>Shake</v>
      </c>
      <c r="D172" s="13" t="s">
        <v>45</v>
      </c>
      <c r="E172" s="13" t="s">
        <v>5</v>
      </c>
      <c r="F172" s="13">
        <v>2.0</v>
      </c>
      <c r="G172" s="13">
        <f t="array" ref="G172">IF(OR(D172="",E172=""),"",IFERROR(CHOOSE(MATCH(E172,{"S","M","L","-"},0),VLOOKUP(D172,Menu!$A$2:$F$105,3,0),VLOOKUP(D172,Menu!$A$2:$F$105,4,0),VLOOKUP(D172,Menu!$A$2:$F$105,5,0),VLOOKUP(D172,Menu!$A$2:$F$105,6,0)),"N/A"))</f>
        <v>50</v>
      </c>
      <c r="H172" s="13">
        <f t="shared" si="2"/>
        <v>100</v>
      </c>
      <c r="I172" s="13">
        <f t="shared" si="3"/>
        <v>586</v>
      </c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9">
        <v>45189.0</v>
      </c>
      <c r="B173" s="10" t="str">
        <f t="shared" si="1"/>
        <v>Wednesday</v>
      </c>
      <c r="C173" s="10" t="str">
        <f>IF(D173="","",VLOOKUP(D173,Menu!$A$2:$B$105,2,0))</f>
        <v>Pizza</v>
      </c>
      <c r="D173" s="10" t="s">
        <v>24</v>
      </c>
      <c r="E173" s="10" t="s">
        <v>3</v>
      </c>
      <c r="F173" s="10">
        <v>1.0</v>
      </c>
      <c r="G173" s="10">
        <f t="array" ref="G173">IF(OR(D173="",E173=""),"",IFERROR(CHOOSE(MATCH(E173,{"S","M","L","-"},0),VLOOKUP(D173,Menu!$A$2:$F$105,3,0),VLOOKUP(D173,Menu!$A$2:$F$105,4,0),VLOOKUP(D173,Menu!$A$2:$F$105,5,0),VLOOKUP(D173,Menu!$A$2:$F$105,6,0)),"N/A"))</f>
        <v>249</v>
      </c>
      <c r="H173" s="10">
        <f t="shared" si="2"/>
        <v>249</v>
      </c>
      <c r="I173" s="10">
        <f t="shared" si="3"/>
        <v>249</v>
      </c>
      <c r="J173" s="10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2">
        <v>45190.0</v>
      </c>
      <c r="B174" s="13" t="str">
        <f t="shared" si="1"/>
        <v>Thursday</v>
      </c>
      <c r="C174" s="13" t="str">
        <f>IF(D174="","",VLOOKUP(D174,Menu!$A$2:$B$105,2,0))</f>
        <v>Beverage</v>
      </c>
      <c r="D174" s="13" t="s">
        <v>63</v>
      </c>
      <c r="E174" s="13" t="s">
        <v>5</v>
      </c>
      <c r="F174" s="13">
        <v>4.0</v>
      </c>
      <c r="G174" s="13">
        <f t="array" ref="G174">IF(OR(D174="",E174=""),"",IFERROR(CHOOSE(MATCH(E174,{"S","M","L","-"},0),VLOOKUP(D174,Menu!$A$2:$F$105,3,0),VLOOKUP(D174,Menu!$A$2:$F$105,4,0),VLOOKUP(D174,Menu!$A$2:$F$105,5,0),VLOOKUP(D174,Menu!$A$2:$F$105,6,0)),"N/A"))</f>
        <v>20</v>
      </c>
      <c r="H174" s="13">
        <f t="shared" si="2"/>
        <v>80</v>
      </c>
      <c r="I174" s="13">
        <f t="shared" si="3"/>
        <v>794</v>
      </c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2">
        <v>45190.0</v>
      </c>
      <c r="B175" s="13" t="str">
        <f t="shared" si="1"/>
        <v>Thursday</v>
      </c>
      <c r="C175" s="13" t="str">
        <f>IF(D175="","",VLOOKUP(D175,Menu!$A$2:$B$105,2,0))</f>
        <v>Shake</v>
      </c>
      <c r="D175" s="13" t="s">
        <v>46</v>
      </c>
      <c r="E175" s="13" t="s">
        <v>5</v>
      </c>
      <c r="F175" s="13">
        <v>1.0</v>
      </c>
      <c r="G175" s="13">
        <f t="array" ref="G175">IF(OR(D175="",E175=""),"",IFERROR(CHOOSE(MATCH(E175,{"S","M","L","-"},0),VLOOKUP(D175,Menu!$A$2:$F$105,3,0),VLOOKUP(D175,Menu!$A$2:$F$105,4,0),VLOOKUP(D175,Menu!$A$2:$F$105,5,0),VLOOKUP(D175,Menu!$A$2:$F$105,6,0)),"N/A"))</f>
        <v>50</v>
      </c>
      <c r="H175" s="13">
        <f t="shared" si="2"/>
        <v>50</v>
      </c>
      <c r="I175" s="13">
        <f t="shared" si="3"/>
        <v>794</v>
      </c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2">
        <v>45190.0</v>
      </c>
      <c r="B176" s="13" t="str">
        <f t="shared" si="1"/>
        <v>Thursday</v>
      </c>
      <c r="C176" s="13" t="str">
        <f>IF(D176="","",VLOOKUP(D176,Menu!$A$2:$B$105,2,0))</f>
        <v>Burger</v>
      </c>
      <c r="D176" s="13" t="s">
        <v>29</v>
      </c>
      <c r="E176" s="13" t="s">
        <v>5</v>
      </c>
      <c r="F176" s="13">
        <v>3.0</v>
      </c>
      <c r="G176" s="13">
        <f t="array" ref="G176">IF(OR(D176="",E176=""),"",IFERROR(CHOOSE(MATCH(E176,{"S","M","L","-"},0),VLOOKUP(D176,Menu!$A$2:$F$105,3,0),VLOOKUP(D176,Menu!$A$2:$F$105,4,0),VLOOKUP(D176,Menu!$A$2:$F$105,5,0),VLOOKUP(D176,Menu!$A$2:$F$105,6,0)),"N/A"))</f>
        <v>59</v>
      </c>
      <c r="H176" s="13">
        <f t="shared" si="2"/>
        <v>177</v>
      </c>
      <c r="I176" s="13">
        <f t="shared" si="3"/>
        <v>794</v>
      </c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2">
        <v>45190.0</v>
      </c>
      <c r="B177" s="13" t="str">
        <f t="shared" si="1"/>
        <v>Thursday</v>
      </c>
      <c r="C177" s="13" t="str">
        <f>IF(D177="","",VLOOKUP(D177,Menu!$A$2:$B$105,2,0))</f>
        <v>Pizza</v>
      </c>
      <c r="D177" s="13" t="s">
        <v>11</v>
      </c>
      <c r="E177" s="13" t="s">
        <v>4</v>
      </c>
      <c r="F177" s="13">
        <v>1.0</v>
      </c>
      <c r="G177" s="13">
        <f t="array" ref="G177">IF(OR(D177="",E177=""),"",IFERROR(CHOOSE(MATCH(E177,{"S","M","L","-"},0),VLOOKUP(D177,Menu!$A$2:$F$105,3,0),VLOOKUP(D177,Menu!$A$2:$F$105,4,0),VLOOKUP(D177,Menu!$A$2:$F$105,5,0),VLOOKUP(D177,Menu!$A$2:$F$105,6,0)),"N/A"))</f>
        <v>209</v>
      </c>
      <c r="H177" s="13">
        <f t="shared" si="2"/>
        <v>209</v>
      </c>
      <c r="I177" s="13">
        <f t="shared" si="3"/>
        <v>794</v>
      </c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2">
        <v>45190.0</v>
      </c>
      <c r="B178" s="13" t="str">
        <f t="shared" si="1"/>
        <v>Thursday</v>
      </c>
      <c r="C178" s="13" t="str">
        <f>IF(D178="","",VLOOKUP(D178,Menu!$A$2:$B$105,2,0))</f>
        <v>Pizza</v>
      </c>
      <c r="D178" s="13" t="s">
        <v>15</v>
      </c>
      <c r="E178" s="13" t="s">
        <v>3</v>
      </c>
      <c r="F178" s="13">
        <v>1.0</v>
      </c>
      <c r="G178" s="13">
        <f t="array" ref="G178">IF(OR(D178="",E178=""),"",IFERROR(CHOOSE(MATCH(E178,{"S","M","L","-"},0),VLOOKUP(D178,Menu!$A$2:$F$105,3,0),VLOOKUP(D178,Menu!$A$2:$F$105,4,0),VLOOKUP(D178,Menu!$A$2:$F$105,5,0),VLOOKUP(D178,Menu!$A$2:$F$105,6,0)),"N/A"))</f>
        <v>149</v>
      </c>
      <c r="H178" s="13">
        <f t="shared" si="2"/>
        <v>149</v>
      </c>
      <c r="I178" s="13">
        <f t="shared" si="3"/>
        <v>794</v>
      </c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2">
        <v>45190.0</v>
      </c>
      <c r="B179" s="13" t="str">
        <f t="shared" si="1"/>
        <v>Thursday</v>
      </c>
      <c r="C179" s="13" t="str">
        <f>IF(D179="","",VLOOKUP(D179,Menu!$A$2:$B$105,2,0))</f>
        <v>Pizza</v>
      </c>
      <c r="D179" s="13" t="s">
        <v>14</v>
      </c>
      <c r="E179" s="13" t="s">
        <v>2</v>
      </c>
      <c r="F179" s="13">
        <v>1.0</v>
      </c>
      <c r="G179" s="13">
        <f t="array" ref="G179">IF(OR(D179="",E179=""),"",IFERROR(CHOOSE(MATCH(E179,{"S","M","L","-"},0),VLOOKUP(D179,Menu!$A$2:$F$105,3,0),VLOOKUP(D179,Menu!$A$2:$F$105,4,0),VLOOKUP(D179,Menu!$A$2:$F$105,5,0),VLOOKUP(D179,Menu!$A$2:$F$105,6,0)),"N/A"))</f>
        <v>79</v>
      </c>
      <c r="H179" s="13">
        <f t="shared" si="2"/>
        <v>79</v>
      </c>
      <c r="I179" s="13">
        <f t="shared" si="3"/>
        <v>794</v>
      </c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2">
        <v>45190.0</v>
      </c>
      <c r="B180" s="13" t="str">
        <f t="shared" si="1"/>
        <v>Thursday</v>
      </c>
      <c r="C180" s="13" t="str">
        <f>IF(D180="","",VLOOKUP(D180,Menu!$A$2:$B$105,2,0))</f>
        <v>Shake</v>
      </c>
      <c r="D180" s="13" t="s">
        <v>45</v>
      </c>
      <c r="E180" s="13" t="s">
        <v>5</v>
      </c>
      <c r="F180" s="13">
        <v>1.0</v>
      </c>
      <c r="G180" s="13">
        <f t="array" ref="G180">IF(OR(D180="",E180=""),"",IFERROR(CHOOSE(MATCH(E180,{"S","M","L","-"},0),VLOOKUP(D180,Menu!$A$2:$F$105,3,0),VLOOKUP(D180,Menu!$A$2:$F$105,4,0),VLOOKUP(D180,Menu!$A$2:$F$105,5,0),VLOOKUP(D180,Menu!$A$2:$F$105,6,0)),"N/A"))</f>
        <v>50</v>
      </c>
      <c r="H180" s="13">
        <f t="shared" si="2"/>
        <v>50</v>
      </c>
      <c r="I180" s="13">
        <f t="shared" si="3"/>
        <v>794</v>
      </c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9">
        <v>45191.0</v>
      </c>
      <c r="B181" s="10" t="str">
        <f t="shared" si="1"/>
        <v>Friday</v>
      </c>
      <c r="C181" s="10" t="str">
        <f>IF(D181="","",VLOOKUP(D181,Menu!$A$2:$B$105,2,0))</f>
        <v>Beverage</v>
      </c>
      <c r="D181" s="10" t="s">
        <v>63</v>
      </c>
      <c r="E181" s="10" t="s">
        <v>5</v>
      </c>
      <c r="F181" s="10">
        <v>2.0</v>
      </c>
      <c r="G181" s="10">
        <f t="array" ref="G181">IF(OR(D181="",E181=""),"",IFERROR(CHOOSE(MATCH(E181,{"S","M","L","-"},0),VLOOKUP(D181,Menu!$A$2:$F$105,3,0),VLOOKUP(D181,Menu!$A$2:$F$105,4,0),VLOOKUP(D181,Menu!$A$2:$F$105,5,0),VLOOKUP(D181,Menu!$A$2:$F$105,6,0)),"N/A"))</f>
        <v>20</v>
      </c>
      <c r="H181" s="10">
        <f t="shared" si="2"/>
        <v>40</v>
      </c>
      <c r="I181" s="10">
        <f t="shared" si="3"/>
        <v>486</v>
      </c>
      <c r="J181" s="10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9">
        <v>45191.0</v>
      </c>
      <c r="B182" s="10" t="str">
        <f t="shared" si="1"/>
        <v>Friday</v>
      </c>
      <c r="C182" s="10" t="str">
        <f>IF(D182="","",VLOOKUP(D182,Menu!$A$2:$B$105,2,0))</f>
        <v>Burger</v>
      </c>
      <c r="D182" s="10" t="s">
        <v>29</v>
      </c>
      <c r="E182" s="10" t="s">
        <v>5</v>
      </c>
      <c r="F182" s="10">
        <v>2.0</v>
      </c>
      <c r="G182" s="10">
        <f t="array" ref="G182">IF(OR(D182="",E182=""),"",IFERROR(CHOOSE(MATCH(E182,{"S","M","L","-"},0),VLOOKUP(D182,Menu!$A$2:$F$105,3,0),VLOOKUP(D182,Menu!$A$2:$F$105,4,0),VLOOKUP(D182,Menu!$A$2:$F$105,5,0),VLOOKUP(D182,Menu!$A$2:$F$105,6,0)),"N/A"))</f>
        <v>59</v>
      </c>
      <c r="H182" s="10">
        <f t="shared" si="2"/>
        <v>118</v>
      </c>
      <c r="I182" s="10">
        <f t="shared" si="3"/>
        <v>486</v>
      </c>
      <c r="J182" s="10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9">
        <v>45191.0</v>
      </c>
      <c r="B183" s="10" t="str">
        <f t="shared" si="1"/>
        <v>Friday</v>
      </c>
      <c r="C183" s="10" t="str">
        <f>IF(D183="","",VLOOKUP(D183,Menu!$A$2:$B$105,2,0))</f>
        <v>Shake</v>
      </c>
      <c r="D183" s="10" t="s">
        <v>45</v>
      </c>
      <c r="E183" s="10" t="s">
        <v>5</v>
      </c>
      <c r="F183" s="10">
        <v>1.0</v>
      </c>
      <c r="G183" s="10">
        <f t="array" ref="G183">IF(OR(D183="",E183=""),"",IFERROR(CHOOSE(MATCH(E183,{"S","M","L","-"},0),VLOOKUP(D183,Menu!$A$2:$F$105,3,0),VLOOKUP(D183,Menu!$A$2:$F$105,4,0),VLOOKUP(D183,Menu!$A$2:$F$105,5,0),VLOOKUP(D183,Menu!$A$2:$F$105,6,0)),"N/A"))</f>
        <v>50</v>
      </c>
      <c r="H183" s="10">
        <f t="shared" si="2"/>
        <v>50</v>
      </c>
      <c r="I183" s="10">
        <f t="shared" si="3"/>
        <v>486</v>
      </c>
      <c r="J183" s="10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9">
        <v>45191.0</v>
      </c>
      <c r="B184" s="10" t="str">
        <f t="shared" si="1"/>
        <v>Friday</v>
      </c>
      <c r="C184" s="10" t="str">
        <f>IF(D184="","",VLOOKUP(D184,Menu!$A$2:$B$105,2,0))</f>
        <v>Pizza</v>
      </c>
      <c r="D184" s="10" t="s">
        <v>13</v>
      </c>
      <c r="E184" s="10" t="s">
        <v>3</v>
      </c>
      <c r="F184" s="10">
        <v>1.0</v>
      </c>
      <c r="G184" s="10">
        <f t="array" ref="G184">IF(OR(D184="",E184=""),"",IFERROR(CHOOSE(MATCH(E184,{"S","M","L","-"},0),VLOOKUP(D184,Menu!$A$2:$F$105,3,0),VLOOKUP(D184,Menu!$A$2:$F$105,4,0),VLOOKUP(D184,Menu!$A$2:$F$105,5,0),VLOOKUP(D184,Menu!$A$2:$F$105,6,0)),"N/A"))</f>
        <v>129</v>
      </c>
      <c r="H184" s="10">
        <f t="shared" si="2"/>
        <v>129</v>
      </c>
      <c r="I184" s="10">
        <f t="shared" si="3"/>
        <v>486</v>
      </c>
      <c r="J184" s="10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9">
        <v>45191.0</v>
      </c>
      <c r="B185" s="10" t="str">
        <f t="shared" si="1"/>
        <v>Friday</v>
      </c>
      <c r="C185" s="10" t="str">
        <f>IF(D185="","",VLOOKUP(D185,Menu!$A$2:$B$105,2,0))</f>
        <v>Pizza</v>
      </c>
      <c r="D185" s="10" t="s">
        <v>6</v>
      </c>
      <c r="E185" s="10" t="s">
        <v>2</v>
      </c>
      <c r="F185" s="10">
        <v>1.0</v>
      </c>
      <c r="G185" s="10">
        <f t="array" ref="G185">IF(OR(D185="",E185=""),"",IFERROR(CHOOSE(MATCH(E185,{"S","M","L","-"},0),VLOOKUP(D185,Menu!$A$2:$F$105,3,0),VLOOKUP(D185,Menu!$A$2:$F$105,4,0),VLOOKUP(D185,Menu!$A$2:$F$105,5,0),VLOOKUP(D185,Menu!$A$2:$F$105,6,0)),"N/A"))</f>
        <v>49</v>
      </c>
      <c r="H185" s="10">
        <f t="shared" si="2"/>
        <v>49</v>
      </c>
      <c r="I185" s="10">
        <f t="shared" si="3"/>
        <v>486</v>
      </c>
      <c r="J185" s="10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9">
        <v>45191.0</v>
      </c>
      <c r="B186" s="10" t="str">
        <f t="shared" si="1"/>
        <v>Friday</v>
      </c>
      <c r="C186" s="10" t="str">
        <f>IF(D186="","",VLOOKUP(D186,Menu!$A$2:$B$105,2,0))</f>
        <v>Shake</v>
      </c>
      <c r="D186" s="10" t="s">
        <v>46</v>
      </c>
      <c r="E186" s="10" t="s">
        <v>5</v>
      </c>
      <c r="F186" s="10">
        <v>2.0</v>
      </c>
      <c r="G186" s="10">
        <f t="array" ref="G186">IF(OR(D186="",E186=""),"",IFERROR(CHOOSE(MATCH(E186,{"S","M","L","-"},0),VLOOKUP(D186,Menu!$A$2:$F$105,3,0),VLOOKUP(D186,Menu!$A$2:$F$105,4,0),VLOOKUP(D186,Menu!$A$2:$F$105,5,0),VLOOKUP(D186,Menu!$A$2:$F$105,6,0)),"N/A"))</f>
        <v>50</v>
      </c>
      <c r="H186" s="10">
        <f t="shared" si="2"/>
        <v>100</v>
      </c>
      <c r="I186" s="10">
        <f t="shared" si="3"/>
        <v>486</v>
      </c>
      <c r="J186" s="10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2">
        <v>45192.0</v>
      </c>
      <c r="B187" s="13" t="str">
        <f t="shared" si="1"/>
        <v>Saturday</v>
      </c>
      <c r="C187" s="13" t="str">
        <f>IF(D187="","",VLOOKUP(D187,Menu!$A$2:$B$105,2,0))</f>
        <v>Beverage</v>
      </c>
      <c r="D187" s="13" t="s">
        <v>63</v>
      </c>
      <c r="E187" s="13" t="s">
        <v>5</v>
      </c>
      <c r="F187" s="13">
        <v>3.0</v>
      </c>
      <c r="G187" s="13">
        <f t="array" ref="G187">IF(OR(D187="",E187=""),"",IFERROR(CHOOSE(MATCH(E187,{"S","M","L","-"},0),VLOOKUP(D187,Menu!$A$2:$F$105,3,0),VLOOKUP(D187,Menu!$A$2:$F$105,4,0),VLOOKUP(D187,Menu!$A$2:$F$105,5,0),VLOOKUP(D187,Menu!$A$2:$F$105,6,0)),"N/A"))</f>
        <v>20</v>
      </c>
      <c r="H187" s="13">
        <f t="shared" si="2"/>
        <v>60</v>
      </c>
      <c r="I187" s="13">
        <f t="shared" si="3"/>
        <v>2389</v>
      </c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2">
        <v>45192.0</v>
      </c>
      <c r="B188" s="13" t="str">
        <f t="shared" si="1"/>
        <v>Saturday</v>
      </c>
      <c r="C188" s="13" t="str">
        <f>IF(D188="","",VLOOKUP(D188,Menu!$A$2:$B$105,2,0))</f>
        <v>Burger</v>
      </c>
      <c r="D188" s="13" t="s">
        <v>66</v>
      </c>
      <c r="E188" s="13" t="s">
        <v>5</v>
      </c>
      <c r="F188" s="13">
        <v>7.0</v>
      </c>
      <c r="G188" s="13">
        <f t="array" ref="G188">IF(OR(D188="",E188=""),"",IFERROR(CHOOSE(MATCH(E188,{"S","M","L","-"},0),VLOOKUP(D188,Menu!$A$2:$F$105,3,0),VLOOKUP(D188,Menu!$A$2:$F$105,4,0),VLOOKUP(D188,Menu!$A$2:$F$105,5,0),VLOOKUP(D188,Menu!$A$2:$F$105,6,0)),"N/A"))</f>
        <v>5</v>
      </c>
      <c r="H188" s="13">
        <f t="shared" si="2"/>
        <v>35</v>
      </c>
      <c r="I188" s="13">
        <f t="shared" si="3"/>
        <v>2389</v>
      </c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2">
        <v>45192.0</v>
      </c>
      <c r="B189" s="13" t="str">
        <f t="shared" si="1"/>
        <v>Saturday</v>
      </c>
      <c r="C189" s="13" t="str">
        <f>IF(D189="","",VLOOKUP(D189,Menu!$A$2:$B$105,2,0))</f>
        <v>Shake</v>
      </c>
      <c r="D189" s="13" t="s">
        <v>45</v>
      </c>
      <c r="E189" s="13" t="s">
        <v>5</v>
      </c>
      <c r="F189" s="13">
        <v>1.0</v>
      </c>
      <c r="G189" s="13">
        <f t="array" ref="G189">IF(OR(D189="",E189=""),"",IFERROR(CHOOSE(MATCH(E189,{"S","M","L","-"},0),VLOOKUP(D189,Menu!$A$2:$F$105,3,0),VLOOKUP(D189,Menu!$A$2:$F$105,4,0),VLOOKUP(D189,Menu!$A$2:$F$105,5,0),VLOOKUP(D189,Menu!$A$2:$F$105,6,0)),"N/A"))</f>
        <v>50</v>
      </c>
      <c r="H189" s="13">
        <f t="shared" si="2"/>
        <v>50</v>
      </c>
      <c r="I189" s="13">
        <f t="shared" si="3"/>
        <v>2389</v>
      </c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2">
        <v>45192.0</v>
      </c>
      <c r="B190" s="13" t="str">
        <f t="shared" si="1"/>
        <v>Saturday</v>
      </c>
      <c r="C190" s="13" t="str">
        <f>IF(D190="","",VLOOKUP(D190,Menu!$A$2:$B$105,2,0))</f>
        <v>Pizza</v>
      </c>
      <c r="D190" s="13" t="s">
        <v>17</v>
      </c>
      <c r="E190" s="13" t="s">
        <v>4</v>
      </c>
      <c r="F190" s="13">
        <v>1.0</v>
      </c>
      <c r="G190" s="13">
        <f t="array" ref="G190">IF(OR(D190="",E190=""),"",IFERROR(CHOOSE(MATCH(E190,{"S","M","L","-"},0),VLOOKUP(D190,Menu!$A$2:$F$105,3,0),VLOOKUP(D190,Menu!$A$2:$F$105,4,0),VLOOKUP(D190,Menu!$A$2:$F$105,5,0),VLOOKUP(D190,Menu!$A$2:$F$105,6,0)),"N/A"))</f>
        <v>299</v>
      </c>
      <c r="H190" s="13">
        <f t="shared" si="2"/>
        <v>299</v>
      </c>
      <c r="I190" s="13">
        <f t="shared" si="3"/>
        <v>2389</v>
      </c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2">
        <v>45192.0</v>
      </c>
      <c r="B191" s="13" t="str">
        <f t="shared" si="1"/>
        <v>Saturday</v>
      </c>
      <c r="C191" s="13" t="str">
        <f>IF(D191="","",VLOOKUP(D191,Menu!$A$2:$B$105,2,0))</f>
        <v>Dessert</v>
      </c>
      <c r="D191" s="13" t="s">
        <v>54</v>
      </c>
      <c r="E191" s="13" t="s">
        <v>5</v>
      </c>
      <c r="F191" s="13">
        <v>4.0</v>
      </c>
      <c r="G191" s="13">
        <f t="array" ref="G191">IF(OR(D191="",E191=""),"",IFERROR(CHOOSE(MATCH(E191,{"S","M","L","-"},0),VLOOKUP(D191,Menu!$A$2:$F$105,3,0),VLOOKUP(D191,Menu!$A$2:$F$105,4,0),VLOOKUP(D191,Menu!$A$2:$F$105,5,0),VLOOKUP(D191,Menu!$A$2:$F$105,6,0)),"N/A"))</f>
        <v>70</v>
      </c>
      <c r="H191" s="13">
        <f t="shared" si="2"/>
        <v>280</v>
      </c>
      <c r="I191" s="13">
        <f t="shared" si="3"/>
        <v>2389</v>
      </c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2">
        <v>45192.0</v>
      </c>
      <c r="B192" s="13" t="str">
        <f t="shared" si="1"/>
        <v>Saturday</v>
      </c>
      <c r="C192" s="13" t="str">
        <f>IF(D192="","",VLOOKUP(D192,Menu!$A$2:$B$105,2,0))</f>
        <v>Pizza</v>
      </c>
      <c r="D192" s="13" t="s">
        <v>20</v>
      </c>
      <c r="E192" s="13" t="s">
        <v>2</v>
      </c>
      <c r="F192" s="13">
        <v>1.0</v>
      </c>
      <c r="G192" s="13">
        <f t="array" ref="G192">IF(OR(D192="",E192=""),"",IFERROR(CHOOSE(MATCH(E192,{"S","M","L","-"},0),VLOOKUP(D192,Menu!$A$2:$F$105,3,0),VLOOKUP(D192,Menu!$A$2:$F$105,4,0),VLOOKUP(D192,Menu!$A$2:$F$105,5,0),VLOOKUP(D192,Menu!$A$2:$F$105,6,0)),"N/A"))</f>
        <v>119</v>
      </c>
      <c r="H192" s="13">
        <f t="shared" si="2"/>
        <v>119</v>
      </c>
      <c r="I192" s="13">
        <f t="shared" si="3"/>
        <v>2389</v>
      </c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2">
        <v>45192.0</v>
      </c>
      <c r="B193" s="13" t="str">
        <f t="shared" si="1"/>
        <v>Saturday</v>
      </c>
      <c r="C193" s="13" t="str">
        <f>IF(D193="","",VLOOKUP(D193,Menu!$A$2:$B$105,2,0))</f>
        <v>Pizza</v>
      </c>
      <c r="D193" s="13" t="s">
        <v>23</v>
      </c>
      <c r="E193" s="13" t="s">
        <v>2</v>
      </c>
      <c r="F193" s="13">
        <v>1.0</v>
      </c>
      <c r="G193" s="13">
        <f t="array" ref="G193">IF(OR(D193="",E193=""),"",IFERROR(CHOOSE(MATCH(E193,{"S","M","L","-"},0),VLOOKUP(D193,Menu!$A$2:$F$105,3,0),VLOOKUP(D193,Menu!$A$2:$F$105,4,0),VLOOKUP(D193,Menu!$A$2:$F$105,5,0),VLOOKUP(D193,Menu!$A$2:$F$105,6,0)),"N/A"))</f>
        <v>129</v>
      </c>
      <c r="H193" s="13">
        <f t="shared" si="2"/>
        <v>129</v>
      </c>
      <c r="I193" s="13">
        <f t="shared" si="3"/>
        <v>2389</v>
      </c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2">
        <v>45192.0</v>
      </c>
      <c r="B194" s="13" t="str">
        <f t="shared" si="1"/>
        <v>Saturday</v>
      </c>
      <c r="C194" s="13" t="str">
        <f>IF(D194="","",VLOOKUP(D194,Menu!$A$2:$B$105,2,0))</f>
        <v>Pizza</v>
      </c>
      <c r="D194" s="13" t="s">
        <v>15</v>
      </c>
      <c r="E194" s="13" t="s">
        <v>2</v>
      </c>
      <c r="F194" s="13">
        <v>1.0</v>
      </c>
      <c r="G194" s="13">
        <f t="array" ref="G194">IF(OR(D194="",E194=""),"",IFERROR(CHOOSE(MATCH(E194,{"S","M","L","-"},0),VLOOKUP(D194,Menu!$A$2:$F$105,3,0),VLOOKUP(D194,Menu!$A$2:$F$105,4,0),VLOOKUP(D194,Menu!$A$2:$F$105,5,0),VLOOKUP(D194,Menu!$A$2:$F$105,6,0)),"N/A"))</f>
        <v>99</v>
      </c>
      <c r="H194" s="13">
        <f t="shared" si="2"/>
        <v>99</v>
      </c>
      <c r="I194" s="13">
        <f t="shared" si="3"/>
        <v>2389</v>
      </c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2">
        <v>45192.0</v>
      </c>
      <c r="B195" s="13" t="str">
        <f t="shared" si="1"/>
        <v>Saturday</v>
      </c>
      <c r="C195" s="13" t="str">
        <f>IF(D195="","",VLOOKUP(D195,Menu!$A$2:$B$105,2,0))</f>
        <v>Add-on</v>
      </c>
      <c r="D195" s="13" t="s">
        <v>67</v>
      </c>
      <c r="E195" s="13" t="s">
        <v>5</v>
      </c>
      <c r="F195" s="13">
        <v>1.0</v>
      </c>
      <c r="G195" s="13">
        <f t="array" ref="G195">IF(OR(D195="",E195=""),"",IFERROR(CHOOSE(MATCH(E195,{"S","M","L","-"},0),VLOOKUP(D195,Menu!$A$2:$F$105,3,0),VLOOKUP(D195,Menu!$A$2:$F$105,4,0),VLOOKUP(D195,Menu!$A$2:$F$105,5,0),VLOOKUP(D195,Menu!$A$2:$F$105,6,0)),"N/A"))</f>
        <v>40</v>
      </c>
      <c r="H195" s="13">
        <f t="shared" si="2"/>
        <v>40</v>
      </c>
      <c r="I195" s="13">
        <f t="shared" si="3"/>
        <v>2389</v>
      </c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2">
        <v>45192.0</v>
      </c>
      <c r="B196" s="13" t="str">
        <f t="shared" si="1"/>
        <v>Saturday</v>
      </c>
      <c r="C196" s="13" t="str">
        <f>IF(D196="","",VLOOKUP(D196,Menu!$A$2:$B$105,2,0))</f>
        <v>Pizza</v>
      </c>
      <c r="D196" s="13" t="s">
        <v>26</v>
      </c>
      <c r="E196" s="13" t="s">
        <v>5</v>
      </c>
      <c r="F196" s="13">
        <v>5.0</v>
      </c>
      <c r="G196" s="13">
        <f t="array" ref="G196">IF(OR(D196="",E196=""),"",IFERROR(CHOOSE(MATCH(E196,{"S","M","L","-"},0),VLOOKUP(D196,Menu!$A$2:$F$105,3,0),VLOOKUP(D196,Menu!$A$2:$F$105,4,0),VLOOKUP(D196,Menu!$A$2:$F$105,5,0),VLOOKUP(D196,Menu!$A$2:$F$105,6,0)),"N/A"))</f>
        <v>99</v>
      </c>
      <c r="H196" s="13">
        <f t="shared" si="2"/>
        <v>495</v>
      </c>
      <c r="I196" s="13">
        <f t="shared" si="3"/>
        <v>2389</v>
      </c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2">
        <v>45192.0</v>
      </c>
      <c r="B197" s="13" t="str">
        <f t="shared" si="1"/>
        <v>Saturday</v>
      </c>
      <c r="C197" s="13" t="str">
        <f>IF(D197="","",VLOOKUP(D197,Menu!$A$2:$B$105,2,0))</f>
        <v>Burger</v>
      </c>
      <c r="D197" s="13" t="s">
        <v>29</v>
      </c>
      <c r="E197" s="13" t="s">
        <v>5</v>
      </c>
      <c r="F197" s="13">
        <v>1.0</v>
      </c>
      <c r="G197" s="13">
        <f t="array" ref="G197">IF(OR(D197="",E197=""),"",IFERROR(CHOOSE(MATCH(E197,{"S","M","L","-"},0),VLOOKUP(D197,Menu!$A$2:$F$105,3,0),VLOOKUP(D197,Menu!$A$2:$F$105,4,0),VLOOKUP(D197,Menu!$A$2:$F$105,5,0),VLOOKUP(D197,Menu!$A$2:$F$105,6,0)),"N/A"))</f>
        <v>59</v>
      </c>
      <c r="H197" s="13">
        <f t="shared" si="2"/>
        <v>59</v>
      </c>
      <c r="I197" s="13">
        <f t="shared" si="3"/>
        <v>2389</v>
      </c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2">
        <v>45192.0</v>
      </c>
      <c r="B198" s="13" t="str">
        <f t="shared" si="1"/>
        <v>Saturday</v>
      </c>
      <c r="C198" s="13" t="str">
        <f>IF(D198="","",VLOOKUP(D198,Menu!$A$2:$B$105,2,0))</f>
        <v>Pizza</v>
      </c>
      <c r="D198" s="13" t="s">
        <v>15</v>
      </c>
      <c r="E198" s="13" t="s">
        <v>2</v>
      </c>
      <c r="F198" s="13">
        <v>2.0</v>
      </c>
      <c r="G198" s="13">
        <f t="array" ref="G198">IF(OR(D198="",E198=""),"",IFERROR(CHOOSE(MATCH(E198,{"S","M","L","-"},0),VLOOKUP(D198,Menu!$A$2:$F$105,3,0),VLOOKUP(D198,Menu!$A$2:$F$105,4,0),VLOOKUP(D198,Menu!$A$2:$F$105,5,0),VLOOKUP(D198,Menu!$A$2:$F$105,6,0)),"N/A"))</f>
        <v>99</v>
      </c>
      <c r="H198" s="13">
        <f t="shared" si="2"/>
        <v>198</v>
      </c>
      <c r="I198" s="13">
        <f t="shared" si="3"/>
        <v>2389</v>
      </c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2">
        <v>45192.0</v>
      </c>
      <c r="B199" s="13" t="str">
        <f t="shared" si="1"/>
        <v>Saturday</v>
      </c>
      <c r="C199" s="13" t="str">
        <f>IF(D199="","",VLOOKUP(D199,Menu!$A$2:$B$105,2,0))</f>
        <v>Pizza</v>
      </c>
      <c r="D199" s="13" t="s">
        <v>19</v>
      </c>
      <c r="E199" s="13" t="s">
        <v>2</v>
      </c>
      <c r="F199" s="13">
        <v>3.0</v>
      </c>
      <c r="G199" s="13">
        <f t="array" ref="G199">IF(OR(D199="",E199=""),"",IFERROR(CHOOSE(MATCH(E199,{"S","M","L","-"},0),VLOOKUP(D199,Menu!$A$2:$F$105,3,0),VLOOKUP(D199,Menu!$A$2:$F$105,4,0),VLOOKUP(D199,Menu!$A$2:$F$105,5,0),VLOOKUP(D199,Menu!$A$2:$F$105,6,0)),"N/A"))</f>
        <v>109</v>
      </c>
      <c r="H199" s="13">
        <f t="shared" si="2"/>
        <v>327</v>
      </c>
      <c r="I199" s="13">
        <f t="shared" si="3"/>
        <v>2389</v>
      </c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2">
        <v>45192.0</v>
      </c>
      <c r="B200" s="13" t="str">
        <f t="shared" si="1"/>
        <v>Saturday</v>
      </c>
      <c r="C200" s="13" t="str">
        <f>IF(D200="","",VLOOKUP(D200,Menu!$A$2:$B$105,2,0))</f>
        <v>Pizza</v>
      </c>
      <c r="D200" s="13" t="s">
        <v>17</v>
      </c>
      <c r="E200" s="13" t="s">
        <v>3</v>
      </c>
      <c r="F200" s="13">
        <v>1.0</v>
      </c>
      <c r="G200" s="13">
        <f t="array" ref="G200">IF(OR(D200="",E200=""),"",IFERROR(CHOOSE(MATCH(E200,{"S","M","L","-"},0),VLOOKUP(D200,Menu!$A$2:$F$105,3,0),VLOOKUP(D200,Menu!$A$2:$F$105,4,0),VLOOKUP(D200,Menu!$A$2:$F$105,5,0),VLOOKUP(D200,Menu!$A$2:$F$105,6,0)),"N/A"))</f>
        <v>199</v>
      </c>
      <c r="H200" s="13">
        <f t="shared" si="2"/>
        <v>199</v>
      </c>
      <c r="I200" s="13">
        <f t="shared" si="3"/>
        <v>2389</v>
      </c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9">
        <v>45193.0</v>
      </c>
      <c r="B201" s="10" t="str">
        <f t="shared" si="1"/>
        <v>Sunday</v>
      </c>
      <c r="C201" s="10" t="str">
        <f>IF(D201="","",VLOOKUP(D201,Menu!$A$2:$B$105,2,0))</f>
        <v>Pizza</v>
      </c>
      <c r="D201" s="10" t="s">
        <v>24</v>
      </c>
      <c r="E201" s="10" t="s">
        <v>3</v>
      </c>
      <c r="F201" s="10">
        <v>1.0</v>
      </c>
      <c r="G201" s="10">
        <f t="array" ref="G201">IF(OR(D201="",E201=""),"",IFERROR(CHOOSE(MATCH(E201,{"S","M","L","-"},0),VLOOKUP(D201,Menu!$A$2:$F$105,3,0),VLOOKUP(D201,Menu!$A$2:$F$105,4,0),VLOOKUP(D201,Menu!$A$2:$F$105,5,0),VLOOKUP(D201,Menu!$A$2:$F$105,6,0)),"N/A"))</f>
        <v>249</v>
      </c>
      <c r="H201" s="10">
        <f t="shared" si="2"/>
        <v>249</v>
      </c>
      <c r="I201" s="10">
        <f t="shared" si="3"/>
        <v>934</v>
      </c>
      <c r="J201" s="1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9">
        <v>45193.0</v>
      </c>
      <c r="B202" s="10" t="str">
        <f t="shared" si="1"/>
        <v>Sunday</v>
      </c>
      <c r="C202" s="10" t="str">
        <f>IF(D202="","",VLOOKUP(D202,Menu!$A$2:$B$105,2,0))</f>
        <v>Bread</v>
      </c>
      <c r="D202" s="10" t="s">
        <v>35</v>
      </c>
      <c r="E202" s="10" t="s">
        <v>5</v>
      </c>
      <c r="F202" s="10">
        <v>1.0</v>
      </c>
      <c r="G202" s="10">
        <f t="array" ref="G202">IF(OR(D202="",E202=""),"",IFERROR(CHOOSE(MATCH(E202,{"S","M","L","-"},0),VLOOKUP(D202,Menu!$A$2:$F$105,3,0),VLOOKUP(D202,Menu!$A$2:$F$105,4,0),VLOOKUP(D202,Menu!$A$2:$F$105,5,0),VLOOKUP(D202,Menu!$A$2:$F$105,6,0)),"N/A"))</f>
        <v>49</v>
      </c>
      <c r="H202" s="10">
        <f t="shared" si="2"/>
        <v>49</v>
      </c>
      <c r="I202" s="10">
        <f t="shared" si="3"/>
        <v>934</v>
      </c>
      <c r="J202" s="1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9">
        <v>45193.0</v>
      </c>
      <c r="B203" s="10" t="str">
        <f t="shared" si="1"/>
        <v>Sunday</v>
      </c>
      <c r="C203" s="10" t="str">
        <f>IF(D203="","",VLOOKUP(D203,Menu!$A$2:$B$105,2,0))</f>
        <v>Pizza</v>
      </c>
      <c r="D203" s="10" t="s">
        <v>26</v>
      </c>
      <c r="E203" s="10" t="s">
        <v>5</v>
      </c>
      <c r="F203" s="10">
        <v>3.0</v>
      </c>
      <c r="G203" s="10">
        <f t="array" ref="G203">IF(OR(D203="",E203=""),"",IFERROR(CHOOSE(MATCH(E203,{"S","M","L","-"},0),VLOOKUP(D203,Menu!$A$2:$F$105,3,0),VLOOKUP(D203,Menu!$A$2:$F$105,4,0),VLOOKUP(D203,Menu!$A$2:$F$105,5,0),VLOOKUP(D203,Menu!$A$2:$F$105,6,0)),"N/A"))</f>
        <v>99</v>
      </c>
      <c r="H203" s="10">
        <f t="shared" si="2"/>
        <v>297</v>
      </c>
      <c r="I203" s="10">
        <f t="shared" si="3"/>
        <v>934</v>
      </c>
      <c r="J203" s="1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9">
        <v>45193.0</v>
      </c>
      <c r="B204" s="10" t="str">
        <f t="shared" si="1"/>
        <v>Sunday</v>
      </c>
      <c r="C204" s="10" t="str">
        <f>IF(D204="","",VLOOKUP(D204,Menu!$A$2:$B$105,2,0))</f>
        <v>Pizza</v>
      </c>
      <c r="D204" s="10" t="s">
        <v>23</v>
      </c>
      <c r="E204" s="10" t="s">
        <v>3</v>
      </c>
      <c r="F204" s="10">
        <v>1.0</v>
      </c>
      <c r="G204" s="10">
        <f t="array" ref="G204">IF(OR(D204="",E204=""),"",IFERROR(CHOOSE(MATCH(E204,{"S","M","L","-"},0),VLOOKUP(D204,Menu!$A$2:$F$105,3,0),VLOOKUP(D204,Menu!$A$2:$F$105,4,0),VLOOKUP(D204,Menu!$A$2:$F$105,5,0),VLOOKUP(D204,Menu!$A$2:$F$105,6,0)),"N/A"))</f>
        <v>230</v>
      </c>
      <c r="H204" s="10">
        <f t="shared" si="2"/>
        <v>230</v>
      </c>
      <c r="I204" s="10">
        <f t="shared" si="3"/>
        <v>934</v>
      </c>
      <c r="J204" s="1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9">
        <v>45193.0</v>
      </c>
      <c r="B205" s="10" t="str">
        <f t="shared" si="1"/>
        <v>Sunday</v>
      </c>
      <c r="C205" s="10" t="str">
        <f>IF(D205="","",VLOOKUP(D205,Menu!$A$2:$B$105,2,0))</f>
        <v>Pizza</v>
      </c>
      <c r="D205" s="10" t="s">
        <v>16</v>
      </c>
      <c r="E205" s="10" t="s">
        <v>2</v>
      </c>
      <c r="F205" s="10">
        <v>1.0</v>
      </c>
      <c r="G205" s="10">
        <f t="array" ref="G205">IF(OR(D205="",E205=""),"",IFERROR(CHOOSE(MATCH(E205,{"S","M","L","-"},0),VLOOKUP(D205,Menu!$A$2:$F$105,3,0),VLOOKUP(D205,Menu!$A$2:$F$105,4,0),VLOOKUP(D205,Menu!$A$2:$F$105,5,0),VLOOKUP(D205,Menu!$A$2:$F$105,6,0)),"N/A"))</f>
        <v>109</v>
      </c>
      <c r="H205" s="10">
        <f t="shared" si="2"/>
        <v>109</v>
      </c>
      <c r="I205" s="10">
        <f t="shared" si="3"/>
        <v>934</v>
      </c>
      <c r="J205" s="1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2">
        <v>45194.0</v>
      </c>
      <c r="B206" s="13" t="str">
        <f t="shared" si="1"/>
        <v>Monday</v>
      </c>
      <c r="C206" s="13" t="str">
        <f>IF(D206="","",VLOOKUP(D206,Menu!$A$2:$B$105,2,0))</f>
        <v>Pizza</v>
      </c>
      <c r="D206" s="13" t="s">
        <v>10</v>
      </c>
      <c r="E206" s="13" t="s">
        <v>2</v>
      </c>
      <c r="F206" s="13">
        <v>1.0</v>
      </c>
      <c r="G206" s="13">
        <f t="array" ref="G206">IF(OR(D206="",E206=""),"",IFERROR(CHOOSE(MATCH(E206,{"S","M","L","-"},0),VLOOKUP(D206,Menu!$A$2:$F$105,3,0),VLOOKUP(D206,Menu!$A$2:$F$105,4,0),VLOOKUP(D206,Menu!$A$2:$F$105,5,0),VLOOKUP(D206,Menu!$A$2:$F$105,6,0)),"N/A"))</f>
        <v>59</v>
      </c>
      <c r="H206" s="13">
        <f t="shared" si="2"/>
        <v>59</v>
      </c>
      <c r="I206" s="13">
        <f t="shared" si="3"/>
        <v>931</v>
      </c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2">
        <v>45194.0</v>
      </c>
      <c r="B207" s="13" t="str">
        <f t="shared" si="1"/>
        <v>Monday</v>
      </c>
      <c r="C207" s="13" t="str">
        <f>IF(D207="","",VLOOKUP(D207,Menu!$A$2:$B$105,2,0))</f>
        <v>Pizza</v>
      </c>
      <c r="D207" s="13" t="s">
        <v>8</v>
      </c>
      <c r="E207" s="13" t="s">
        <v>2</v>
      </c>
      <c r="F207" s="13">
        <v>3.0</v>
      </c>
      <c r="G207" s="13">
        <f t="array" ref="G207">IF(OR(D207="",E207=""),"",IFERROR(CHOOSE(MATCH(E207,{"S","M","L","-"},0),VLOOKUP(D207,Menu!$A$2:$F$105,3,0),VLOOKUP(D207,Menu!$A$2:$F$105,4,0),VLOOKUP(D207,Menu!$A$2:$F$105,5,0),VLOOKUP(D207,Menu!$A$2:$F$105,6,0)),"N/A"))</f>
        <v>59</v>
      </c>
      <c r="H207" s="13">
        <f t="shared" si="2"/>
        <v>177</v>
      </c>
      <c r="I207" s="13">
        <f t="shared" si="3"/>
        <v>931</v>
      </c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2">
        <v>45194.0</v>
      </c>
      <c r="B208" s="13" t="str">
        <f t="shared" si="1"/>
        <v>Monday</v>
      </c>
      <c r="C208" s="13" t="str">
        <f>IF(D208="","",VLOOKUP(D208,Menu!$A$2:$B$105,2,0))</f>
        <v>Pizza</v>
      </c>
      <c r="D208" s="13" t="s">
        <v>21</v>
      </c>
      <c r="E208" s="13" t="s">
        <v>4</v>
      </c>
      <c r="F208" s="13">
        <v>1.0</v>
      </c>
      <c r="G208" s="13">
        <f t="array" ref="G208">IF(OR(D208="",E208=""),"",IFERROR(CHOOSE(MATCH(E208,{"S","M","L","-"},0),VLOOKUP(D208,Menu!$A$2:$F$105,3,0),VLOOKUP(D208,Menu!$A$2:$F$105,4,0),VLOOKUP(D208,Menu!$A$2:$F$105,5,0),VLOOKUP(D208,Menu!$A$2:$F$105,6,0)),"N/A"))</f>
        <v>299</v>
      </c>
      <c r="H208" s="13">
        <f t="shared" si="2"/>
        <v>299</v>
      </c>
      <c r="I208" s="13">
        <f t="shared" si="3"/>
        <v>931</v>
      </c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2">
        <v>45194.0</v>
      </c>
      <c r="B209" s="13" t="str">
        <f t="shared" si="1"/>
        <v>Monday</v>
      </c>
      <c r="C209" s="13" t="str">
        <f>IF(D209="","",VLOOKUP(D209,Menu!$A$2:$B$105,2,0))</f>
        <v>Pizza</v>
      </c>
      <c r="D209" s="13" t="s">
        <v>11</v>
      </c>
      <c r="E209" s="13" t="s">
        <v>3</v>
      </c>
      <c r="F209" s="13">
        <v>1.0</v>
      </c>
      <c r="G209" s="13">
        <f t="array" ref="G209">IF(OR(D209="",E209=""),"",IFERROR(CHOOSE(MATCH(E209,{"S","M","L","-"},0),VLOOKUP(D209,Menu!$A$2:$F$105,3,0),VLOOKUP(D209,Menu!$A$2:$F$105,4,0),VLOOKUP(D209,Menu!$A$2:$F$105,5,0),VLOOKUP(D209,Menu!$A$2:$F$105,6,0)),"N/A"))</f>
        <v>109</v>
      </c>
      <c r="H209" s="13">
        <f t="shared" si="2"/>
        <v>109</v>
      </c>
      <c r="I209" s="13">
        <f t="shared" si="3"/>
        <v>931</v>
      </c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2">
        <v>45194.0</v>
      </c>
      <c r="B210" s="13" t="str">
        <f t="shared" si="1"/>
        <v>Monday</v>
      </c>
      <c r="C210" s="13" t="str">
        <f>IF(D210="","",VLOOKUP(D210,Menu!$A$2:$B$105,2,0))</f>
        <v>Burger</v>
      </c>
      <c r="D210" s="13" t="s">
        <v>29</v>
      </c>
      <c r="E210" s="13" t="s">
        <v>5</v>
      </c>
      <c r="F210" s="13">
        <v>1.0</v>
      </c>
      <c r="G210" s="13">
        <f t="array" ref="G210">IF(OR(D210="",E210=""),"",IFERROR(CHOOSE(MATCH(E210,{"S","M","L","-"},0),VLOOKUP(D210,Menu!$A$2:$F$105,3,0),VLOOKUP(D210,Menu!$A$2:$F$105,4,0),VLOOKUP(D210,Menu!$A$2:$F$105,5,0),VLOOKUP(D210,Menu!$A$2:$F$105,6,0)),"N/A"))</f>
        <v>59</v>
      </c>
      <c r="H210" s="13">
        <f t="shared" si="2"/>
        <v>59</v>
      </c>
      <c r="I210" s="13">
        <f t="shared" si="3"/>
        <v>931</v>
      </c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2">
        <v>45194.0</v>
      </c>
      <c r="B211" s="13" t="str">
        <f t="shared" si="1"/>
        <v>Monday</v>
      </c>
      <c r="C211" s="13" t="str">
        <f>IF(D211="","",VLOOKUP(D211,Menu!$A$2:$B$105,2,0))</f>
        <v>Dessert</v>
      </c>
      <c r="D211" s="13" t="s">
        <v>53</v>
      </c>
      <c r="E211" s="13" t="s">
        <v>5</v>
      </c>
      <c r="F211" s="13">
        <v>1.0</v>
      </c>
      <c r="G211" s="13">
        <f t="array" ref="G211">IF(OR(D211="",E211=""),"",IFERROR(CHOOSE(MATCH(E211,{"S","M","L","-"},0),VLOOKUP(D211,Menu!$A$2:$F$105,3,0),VLOOKUP(D211,Menu!$A$2:$F$105,4,0),VLOOKUP(D211,Menu!$A$2:$F$105,5,0),VLOOKUP(D211,Menu!$A$2:$F$105,6,0)),"N/A"))</f>
        <v>30</v>
      </c>
      <c r="H211" s="13">
        <f t="shared" si="2"/>
        <v>30</v>
      </c>
      <c r="I211" s="13">
        <f t="shared" si="3"/>
        <v>931</v>
      </c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2">
        <v>45194.0</v>
      </c>
      <c r="B212" s="13" t="str">
        <f t="shared" si="1"/>
        <v>Monday</v>
      </c>
      <c r="C212" s="13" t="str">
        <f>IF(D212="","",VLOOKUP(D212,Menu!$A$2:$B$105,2,0))</f>
        <v>Pizza</v>
      </c>
      <c r="D212" s="13" t="s">
        <v>26</v>
      </c>
      <c r="E212" s="13" t="s">
        <v>5</v>
      </c>
      <c r="F212" s="13">
        <v>1.0</v>
      </c>
      <c r="G212" s="13">
        <f t="array" ref="G212">IF(OR(D212="",E212=""),"",IFERROR(CHOOSE(MATCH(E212,{"S","M","L","-"},0),VLOOKUP(D212,Menu!$A$2:$F$105,3,0),VLOOKUP(D212,Menu!$A$2:$F$105,4,0),VLOOKUP(D212,Menu!$A$2:$F$105,5,0),VLOOKUP(D212,Menu!$A$2:$F$105,6,0)),"N/A"))</f>
        <v>99</v>
      </c>
      <c r="H212" s="13">
        <f t="shared" si="2"/>
        <v>99</v>
      </c>
      <c r="I212" s="13">
        <f t="shared" si="3"/>
        <v>931</v>
      </c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2">
        <v>45194.0</v>
      </c>
      <c r="B213" s="13" t="str">
        <f t="shared" si="1"/>
        <v>Monday</v>
      </c>
      <c r="C213" s="13" t="str">
        <f>IF(D213="","",VLOOKUP(D213,Menu!$A$2:$B$105,2,0))</f>
        <v>Pizza</v>
      </c>
      <c r="D213" s="13" t="s">
        <v>15</v>
      </c>
      <c r="E213" s="13" t="s">
        <v>2</v>
      </c>
      <c r="F213" s="13">
        <v>1.0</v>
      </c>
      <c r="G213" s="13">
        <f t="array" ref="G213">IF(OR(D213="",E213=""),"",IFERROR(CHOOSE(MATCH(E213,{"S","M","L","-"},0),VLOOKUP(D213,Menu!$A$2:$F$105,3,0),VLOOKUP(D213,Menu!$A$2:$F$105,4,0),VLOOKUP(D213,Menu!$A$2:$F$105,5,0),VLOOKUP(D213,Menu!$A$2:$F$105,6,0)),"N/A"))</f>
        <v>99</v>
      </c>
      <c r="H213" s="13">
        <f t="shared" si="2"/>
        <v>99</v>
      </c>
      <c r="I213" s="13">
        <f t="shared" si="3"/>
        <v>931</v>
      </c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9">
        <v>45195.0</v>
      </c>
      <c r="B214" s="10" t="str">
        <f t="shared" si="1"/>
        <v>Tuesday</v>
      </c>
      <c r="C214" s="10" t="str">
        <f>IF(D214="","",VLOOKUP(D214,Menu!$A$2:$B$105,2,0))</f>
        <v>Burger</v>
      </c>
      <c r="D214" s="10" t="s">
        <v>29</v>
      </c>
      <c r="E214" s="10" t="s">
        <v>5</v>
      </c>
      <c r="F214" s="10">
        <v>1.0</v>
      </c>
      <c r="G214" s="10">
        <f t="array" ref="G214">IF(OR(D214="",E214=""),"",IFERROR(CHOOSE(MATCH(E214,{"S","M","L","-"},0),VLOOKUP(D214,Menu!$A$2:$F$105,3,0),VLOOKUP(D214,Menu!$A$2:$F$105,4,0),VLOOKUP(D214,Menu!$A$2:$F$105,5,0),VLOOKUP(D214,Menu!$A$2:$F$105,6,0)),"N/A"))</f>
        <v>59</v>
      </c>
      <c r="H214" s="10">
        <f t="shared" si="2"/>
        <v>59</v>
      </c>
      <c r="I214" s="10">
        <f t="shared" si="3"/>
        <v>544</v>
      </c>
      <c r="J214" s="1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9">
        <v>45195.0</v>
      </c>
      <c r="B215" s="10" t="str">
        <f t="shared" si="1"/>
        <v>Tuesday</v>
      </c>
      <c r="C215" s="10" t="str">
        <f>IF(D215="","",VLOOKUP(D215,Menu!$A$2:$B$105,2,0))</f>
        <v>Burger</v>
      </c>
      <c r="D215" s="10" t="s">
        <v>27</v>
      </c>
      <c r="E215" s="10" t="s">
        <v>5</v>
      </c>
      <c r="F215" s="10">
        <v>2.0</v>
      </c>
      <c r="G215" s="10">
        <f t="array" ref="G215">IF(OR(D215="",E215=""),"",IFERROR(CHOOSE(MATCH(E215,{"S","M","L","-"},0),VLOOKUP(D215,Menu!$A$2:$F$105,3,0),VLOOKUP(D215,Menu!$A$2:$F$105,4,0),VLOOKUP(D215,Menu!$A$2:$F$105,5,0),VLOOKUP(D215,Menu!$A$2:$F$105,6,0)),"N/A"))</f>
        <v>39</v>
      </c>
      <c r="H215" s="10">
        <f t="shared" si="2"/>
        <v>78</v>
      </c>
      <c r="I215" s="10">
        <f t="shared" si="3"/>
        <v>544</v>
      </c>
      <c r="J215" s="1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9">
        <v>45195.0</v>
      </c>
      <c r="B216" s="10" t="str">
        <f t="shared" si="1"/>
        <v>Tuesday</v>
      </c>
      <c r="C216" s="10" t="str">
        <f>IF(D216="","",VLOOKUP(D216,Menu!$A$2:$B$105,2,0))</f>
        <v>Pizza</v>
      </c>
      <c r="D216" s="10" t="s">
        <v>11</v>
      </c>
      <c r="E216" s="10" t="s">
        <v>3</v>
      </c>
      <c r="F216" s="10">
        <v>3.0</v>
      </c>
      <c r="G216" s="10">
        <f t="array" ref="G216">IF(OR(D216="",E216=""),"",IFERROR(CHOOSE(MATCH(E216,{"S","M","L","-"},0),VLOOKUP(D216,Menu!$A$2:$F$105,3,0),VLOOKUP(D216,Menu!$A$2:$F$105,4,0),VLOOKUP(D216,Menu!$A$2:$F$105,5,0),VLOOKUP(D216,Menu!$A$2:$F$105,6,0)),"N/A"))</f>
        <v>109</v>
      </c>
      <c r="H216" s="10">
        <f t="shared" si="2"/>
        <v>327</v>
      </c>
      <c r="I216" s="10">
        <f t="shared" si="3"/>
        <v>544</v>
      </c>
      <c r="J216" s="1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9">
        <v>45195.0</v>
      </c>
      <c r="B217" s="10" t="str">
        <f t="shared" si="1"/>
        <v>Tuesday</v>
      </c>
      <c r="C217" s="10" t="str">
        <f>IF(D217="","",VLOOKUP(D217,Menu!$A$2:$B$105,2,0))</f>
        <v>Beverage</v>
      </c>
      <c r="D217" s="10" t="s">
        <v>63</v>
      </c>
      <c r="E217" s="10" t="s">
        <v>5</v>
      </c>
      <c r="F217" s="10">
        <v>2.0</v>
      </c>
      <c r="G217" s="10">
        <f t="array" ref="G217">IF(OR(D217="",E217=""),"",IFERROR(CHOOSE(MATCH(E217,{"S","M","L","-"},0),VLOOKUP(D217,Menu!$A$2:$F$105,3,0),VLOOKUP(D217,Menu!$A$2:$F$105,4,0),VLOOKUP(D217,Menu!$A$2:$F$105,5,0),VLOOKUP(D217,Menu!$A$2:$F$105,6,0)),"N/A"))</f>
        <v>20</v>
      </c>
      <c r="H217" s="10">
        <f t="shared" si="2"/>
        <v>40</v>
      </c>
      <c r="I217" s="10">
        <f t="shared" si="3"/>
        <v>544</v>
      </c>
      <c r="J217" s="1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9">
        <v>45195.0</v>
      </c>
      <c r="B218" s="10" t="str">
        <f t="shared" si="1"/>
        <v>Tuesday</v>
      </c>
      <c r="C218" s="10" t="str">
        <f>IF(D218="","",VLOOKUP(D218,Menu!$A$2:$B$105,2,0))</f>
        <v>Beverage</v>
      </c>
      <c r="D218" s="10" t="s">
        <v>65</v>
      </c>
      <c r="E218" s="10" t="s">
        <v>5</v>
      </c>
      <c r="F218" s="10">
        <v>2.0</v>
      </c>
      <c r="G218" s="10">
        <f t="array" ref="G218">IF(OR(D218="",E218=""),"",IFERROR(CHOOSE(MATCH(E218,{"S","M","L","-"},0),VLOOKUP(D218,Menu!$A$2:$F$105,3,0),VLOOKUP(D218,Menu!$A$2:$F$105,4,0),VLOOKUP(D218,Menu!$A$2:$F$105,5,0),VLOOKUP(D218,Menu!$A$2:$F$105,6,0)),"N/A"))</f>
        <v>20</v>
      </c>
      <c r="H218" s="10">
        <f t="shared" si="2"/>
        <v>40</v>
      </c>
      <c r="I218" s="10">
        <f t="shared" si="3"/>
        <v>544</v>
      </c>
      <c r="J218" s="1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2">
        <v>45196.0</v>
      </c>
      <c r="B219" s="13" t="str">
        <f t="shared" si="1"/>
        <v>Wednesday</v>
      </c>
      <c r="C219" s="13" t="str">
        <f>IF(D219="","",VLOOKUP(D219,Menu!$A$2:$B$105,2,0))</f>
        <v>Beverage</v>
      </c>
      <c r="D219" s="13" t="s">
        <v>63</v>
      </c>
      <c r="E219" s="13" t="s">
        <v>5</v>
      </c>
      <c r="F219" s="13">
        <v>16.0</v>
      </c>
      <c r="G219" s="13">
        <f t="array" ref="G219">IF(OR(D219="",E219=""),"",IFERROR(CHOOSE(MATCH(E219,{"S","M","L","-"},0),VLOOKUP(D219,Menu!$A$2:$F$105,3,0),VLOOKUP(D219,Menu!$A$2:$F$105,4,0),VLOOKUP(D219,Menu!$A$2:$F$105,5,0),VLOOKUP(D219,Menu!$A$2:$F$105,6,0)),"N/A"))</f>
        <v>20</v>
      </c>
      <c r="H219" s="13">
        <f t="shared" si="2"/>
        <v>320</v>
      </c>
      <c r="I219" s="13">
        <f t="shared" si="3"/>
        <v>2022</v>
      </c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2">
        <v>45196.0</v>
      </c>
      <c r="B220" s="13" t="str">
        <f t="shared" si="1"/>
        <v>Wednesday</v>
      </c>
      <c r="C220" s="13" t="str">
        <f>IF(D220="","",VLOOKUP(D220,Menu!$A$2:$B$105,2,0))</f>
        <v>Pizza</v>
      </c>
      <c r="D220" s="13" t="s">
        <v>26</v>
      </c>
      <c r="E220" s="13" t="s">
        <v>5</v>
      </c>
      <c r="F220" s="13">
        <v>3.0</v>
      </c>
      <c r="G220" s="13">
        <f t="array" ref="G220">IF(OR(D220="",E220=""),"",IFERROR(CHOOSE(MATCH(E220,{"S","M","L","-"},0),VLOOKUP(D220,Menu!$A$2:$F$105,3,0),VLOOKUP(D220,Menu!$A$2:$F$105,4,0),VLOOKUP(D220,Menu!$A$2:$F$105,5,0),VLOOKUP(D220,Menu!$A$2:$F$105,6,0)),"N/A"))</f>
        <v>99</v>
      </c>
      <c r="H220" s="13">
        <f t="shared" si="2"/>
        <v>297</v>
      </c>
      <c r="I220" s="13">
        <f t="shared" si="3"/>
        <v>2022</v>
      </c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2">
        <v>45196.0</v>
      </c>
      <c r="B221" s="13" t="str">
        <f t="shared" si="1"/>
        <v>Wednesday</v>
      </c>
      <c r="C221" s="13" t="str">
        <f>IF(D221="","",VLOOKUP(D221,Menu!$A$2:$B$105,2,0))</f>
        <v>Pizza</v>
      </c>
      <c r="D221" s="13" t="s">
        <v>11</v>
      </c>
      <c r="E221" s="13" t="s">
        <v>3</v>
      </c>
      <c r="F221" s="13">
        <v>7.0</v>
      </c>
      <c r="G221" s="13">
        <f t="array" ref="G221">IF(OR(D221="",E221=""),"",IFERROR(CHOOSE(MATCH(E221,{"S","M","L","-"},0),VLOOKUP(D221,Menu!$A$2:$F$105,3,0),VLOOKUP(D221,Menu!$A$2:$F$105,4,0),VLOOKUP(D221,Menu!$A$2:$F$105,5,0),VLOOKUP(D221,Menu!$A$2:$F$105,6,0)),"N/A"))</f>
        <v>109</v>
      </c>
      <c r="H221" s="13">
        <f t="shared" si="2"/>
        <v>763</v>
      </c>
      <c r="I221" s="13">
        <f t="shared" si="3"/>
        <v>2022</v>
      </c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2">
        <v>45196.0</v>
      </c>
      <c r="B222" s="13" t="str">
        <f t="shared" si="1"/>
        <v>Wednesday</v>
      </c>
      <c r="C222" s="13" t="str">
        <f>IF(D222="","",VLOOKUP(D222,Menu!$A$2:$B$105,2,0))</f>
        <v>Pizza</v>
      </c>
      <c r="D222" s="13" t="s">
        <v>8</v>
      </c>
      <c r="E222" s="13" t="s">
        <v>2</v>
      </c>
      <c r="F222" s="13">
        <v>3.0</v>
      </c>
      <c r="G222" s="13">
        <f t="array" ref="G222">IF(OR(D222="",E222=""),"",IFERROR(CHOOSE(MATCH(E222,{"S","M","L","-"},0),VLOOKUP(D222,Menu!$A$2:$F$105,3,0),VLOOKUP(D222,Menu!$A$2:$F$105,4,0),VLOOKUP(D222,Menu!$A$2:$F$105,5,0),VLOOKUP(D222,Menu!$A$2:$F$105,6,0)),"N/A"))</f>
        <v>59</v>
      </c>
      <c r="H222" s="13">
        <f t="shared" si="2"/>
        <v>177</v>
      </c>
      <c r="I222" s="13">
        <f t="shared" si="3"/>
        <v>2022</v>
      </c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2">
        <v>45196.0</v>
      </c>
      <c r="B223" s="13" t="str">
        <f t="shared" si="1"/>
        <v>Wednesday</v>
      </c>
      <c r="C223" s="13" t="str">
        <f>IF(D223="","",VLOOKUP(D223,Menu!$A$2:$B$105,2,0))</f>
        <v>Burger</v>
      </c>
      <c r="D223" s="13" t="s">
        <v>27</v>
      </c>
      <c r="E223" s="13" t="s">
        <v>5</v>
      </c>
      <c r="F223" s="13">
        <v>1.0</v>
      </c>
      <c r="G223" s="13">
        <f t="array" ref="G223">IF(OR(D223="",E223=""),"",IFERROR(CHOOSE(MATCH(E223,{"S","M","L","-"},0),VLOOKUP(D223,Menu!$A$2:$F$105,3,0),VLOOKUP(D223,Menu!$A$2:$F$105,4,0),VLOOKUP(D223,Menu!$A$2:$F$105,5,0),VLOOKUP(D223,Menu!$A$2:$F$105,6,0)),"N/A"))</f>
        <v>39</v>
      </c>
      <c r="H223" s="13">
        <f t="shared" si="2"/>
        <v>39</v>
      </c>
      <c r="I223" s="13">
        <f t="shared" si="3"/>
        <v>2022</v>
      </c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2">
        <v>45196.0</v>
      </c>
      <c r="B224" s="13" t="str">
        <f t="shared" si="1"/>
        <v>Wednesday</v>
      </c>
      <c r="C224" s="13" t="str">
        <f>IF(D224="","",VLOOKUP(D224,Menu!$A$2:$B$105,2,0))</f>
        <v>Pizza</v>
      </c>
      <c r="D224" s="13" t="s">
        <v>11</v>
      </c>
      <c r="E224" s="13" t="s">
        <v>2</v>
      </c>
      <c r="F224" s="13">
        <v>3.0</v>
      </c>
      <c r="G224" s="13">
        <f t="array" ref="G224">IF(OR(D224="",E224=""),"",IFERROR(CHOOSE(MATCH(E224,{"S","M","L","-"},0),VLOOKUP(D224,Menu!$A$2:$F$105,3,0),VLOOKUP(D224,Menu!$A$2:$F$105,4,0),VLOOKUP(D224,Menu!$A$2:$F$105,5,0),VLOOKUP(D224,Menu!$A$2:$F$105,6,0)),"N/A"))</f>
        <v>69</v>
      </c>
      <c r="H224" s="13">
        <f t="shared" si="2"/>
        <v>207</v>
      </c>
      <c r="I224" s="13">
        <f t="shared" si="3"/>
        <v>2022</v>
      </c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2">
        <v>45196.0</v>
      </c>
      <c r="B225" s="13" t="str">
        <f t="shared" si="1"/>
        <v>Wednesday</v>
      </c>
      <c r="C225" s="13" t="str">
        <f>IF(D225="","",VLOOKUP(D225,Menu!$A$2:$B$105,2,0))</f>
        <v>Pizza</v>
      </c>
      <c r="D225" s="13" t="s">
        <v>17</v>
      </c>
      <c r="E225" s="13" t="s">
        <v>3</v>
      </c>
      <c r="F225" s="13">
        <v>1.0</v>
      </c>
      <c r="G225" s="13">
        <f t="array" ref="G225">IF(OR(D225="",E225=""),"",IFERROR(CHOOSE(MATCH(E225,{"S","M","L","-"},0),VLOOKUP(D225,Menu!$A$2:$F$105,3,0),VLOOKUP(D225,Menu!$A$2:$F$105,4,0),VLOOKUP(D225,Menu!$A$2:$F$105,5,0),VLOOKUP(D225,Menu!$A$2:$F$105,6,0)),"N/A"))</f>
        <v>199</v>
      </c>
      <c r="H225" s="13">
        <f t="shared" si="2"/>
        <v>199</v>
      </c>
      <c r="I225" s="13">
        <f t="shared" si="3"/>
        <v>2022</v>
      </c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2">
        <v>45196.0</v>
      </c>
      <c r="B226" s="13" t="str">
        <f t="shared" si="1"/>
        <v>Wednesday</v>
      </c>
      <c r="C226" s="13" t="str">
        <f>IF(D226="","",VLOOKUP(D226,Menu!$A$2:$B$105,2,0))</f>
        <v>Burger</v>
      </c>
      <c r="D226" s="13" t="s">
        <v>66</v>
      </c>
      <c r="E226" s="13" t="s">
        <v>5</v>
      </c>
      <c r="F226" s="13">
        <v>4.0</v>
      </c>
      <c r="G226" s="13">
        <f t="array" ref="G226">IF(OR(D226="",E226=""),"",IFERROR(CHOOSE(MATCH(E226,{"S","M","L","-"},0),VLOOKUP(D226,Menu!$A$2:$F$105,3,0),VLOOKUP(D226,Menu!$A$2:$F$105,4,0),VLOOKUP(D226,Menu!$A$2:$F$105,5,0),VLOOKUP(D226,Menu!$A$2:$F$105,6,0)),"N/A"))</f>
        <v>5</v>
      </c>
      <c r="H226" s="13">
        <f t="shared" si="2"/>
        <v>20</v>
      </c>
      <c r="I226" s="13">
        <f t="shared" si="3"/>
        <v>2022</v>
      </c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9">
        <v>45197.0</v>
      </c>
      <c r="B227" s="10" t="str">
        <f t="shared" si="1"/>
        <v>Thursday</v>
      </c>
      <c r="C227" s="10" t="str">
        <f>IF(D227="","",VLOOKUP(D227,Menu!$A$2:$B$105,2,0))</f>
        <v>Burger</v>
      </c>
      <c r="D227" s="10" t="s">
        <v>66</v>
      </c>
      <c r="E227" s="10" t="s">
        <v>5</v>
      </c>
      <c r="F227" s="10">
        <v>4.0</v>
      </c>
      <c r="G227" s="10">
        <f t="array" ref="G227">IF(OR(D227="",E227=""),"",IFERROR(CHOOSE(MATCH(E227,{"S","M","L","-"},0),VLOOKUP(D227,Menu!$A$2:$F$105,3,0),VLOOKUP(D227,Menu!$A$2:$F$105,4,0),VLOOKUP(D227,Menu!$A$2:$F$105,5,0),VLOOKUP(D227,Menu!$A$2:$F$105,6,0)),"N/A"))</f>
        <v>5</v>
      </c>
      <c r="H227" s="10">
        <f t="shared" si="2"/>
        <v>20</v>
      </c>
      <c r="I227" s="10">
        <f t="shared" si="3"/>
        <v>817</v>
      </c>
      <c r="J227" s="1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9">
        <v>45197.0</v>
      </c>
      <c r="B228" s="10" t="str">
        <f t="shared" si="1"/>
        <v>Thursday</v>
      </c>
      <c r="C228" s="10" t="str">
        <f>IF(D228="","",VLOOKUP(D228,Menu!$A$2:$B$105,2,0))</f>
        <v>Pizza</v>
      </c>
      <c r="D228" s="10" t="s">
        <v>21</v>
      </c>
      <c r="E228" s="10" t="s">
        <v>2</v>
      </c>
      <c r="F228" s="10">
        <v>2.0</v>
      </c>
      <c r="G228" s="10">
        <f t="array" ref="G228">IF(OR(D228="",E228=""),"",IFERROR(CHOOSE(MATCH(E228,{"S","M","L","-"},0),VLOOKUP(D228,Menu!$A$2:$F$105,3,0),VLOOKUP(D228,Menu!$A$2:$F$105,4,0),VLOOKUP(D228,Menu!$A$2:$F$105,5,0),VLOOKUP(D228,Menu!$A$2:$F$105,6,0)),"N/A"))</f>
        <v>119</v>
      </c>
      <c r="H228" s="10">
        <f t="shared" si="2"/>
        <v>238</v>
      </c>
      <c r="I228" s="10">
        <f t="shared" si="3"/>
        <v>817</v>
      </c>
      <c r="J228" s="1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9">
        <v>45197.0</v>
      </c>
      <c r="B229" s="10" t="str">
        <f t="shared" si="1"/>
        <v>Thursday</v>
      </c>
      <c r="C229" s="10" t="str">
        <f>IF(D229="","",VLOOKUP(D229,Menu!$A$2:$B$105,2,0))</f>
        <v>Shake</v>
      </c>
      <c r="D229" s="10" t="s">
        <v>46</v>
      </c>
      <c r="E229" s="10" t="s">
        <v>5</v>
      </c>
      <c r="F229" s="10">
        <v>5.0</v>
      </c>
      <c r="G229" s="10">
        <f t="array" ref="G229">IF(OR(D229="",E229=""),"",IFERROR(CHOOSE(MATCH(E229,{"S","M","L","-"},0),VLOOKUP(D229,Menu!$A$2:$F$105,3,0),VLOOKUP(D229,Menu!$A$2:$F$105,4,0),VLOOKUP(D229,Menu!$A$2:$F$105,5,0),VLOOKUP(D229,Menu!$A$2:$F$105,6,0)),"N/A"))</f>
        <v>50</v>
      </c>
      <c r="H229" s="10">
        <f t="shared" si="2"/>
        <v>250</v>
      </c>
      <c r="I229" s="10">
        <f t="shared" si="3"/>
        <v>817</v>
      </c>
      <c r="J229" s="1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9">
        <v>45197.0</v>
      </c>
      <c r="B230" s="10" t="str">
        <f t="shared" si="1"/>
        <v>Thursday</v>
      </c>
      <c r="C230" s="10" t="str">
        <f>IF(D230="","",VLOOKUP(D230,Menu!$A$2:$B$105,2,0))</f>
        <v>Pizza</v>
      </c>
      <c r="D230" s="10" t="s">
        <v>17</v>
      </c>
      <c r="E230" s="10" t="s">
        <v>3</v>
      </c>
      <c r="F230" s="10">
        <v>1.0</v>
      </c>
      <c r="G230" s="10">
        <f t="array" ref="G230">IF(OR(D230="",E230=""),"",IFERROR(CHOOSE(MATCH(E230,{"S","M","L","-"},0),VLOOKUP(D230,Menu!$A$2:$F$105,3,0),VLOOKUP(D230,Menu!$A$2:$F$105,4,0),VLOOKUP(D230,Menu!$A$2:$F$105,5,0),VLOOKUP(D230,Menu!$A$2:$F$105,6,0)),"N/A"))</f>
        <v>199</v>
      </c>
      <c r="H230" s="10">
        <f t="shared" si="2"/>
        <v>199</v>
      </c>
      <c r="I230" s="10">
        <f t="shared" si="3"/>
        <v>817</v>
      </c>
      <c r="J230" s="1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9">
        <v>45197.0</v>
      </c>
      <c r="B231" s="10" t="str">
        <f t="shared" si="1"/>
        <v>Thursday</v>
      </c>
      <c r="C231" s="10" t="str">
        <f>IF(D231="","",VLOOKUP(D231,Menu!$A$2:$B$105,2,0))</f>
        <v>Dessert</v>
      </c>
      <c r="D231" s="10" t="s">
        <v>56</v>
      </c>
      <c r="E231" s="10" t="s">
        <v>5</v>
      </c>
      <c r="F231" s="10">
        <v>1.0</v>
      </c>
      <c r="G231" s="10">
        <f t="array" ref="G231">IF(OR(D231="",E231=""),"",IFERROR(CHOOSE(MATCH(E231,{"S","M","L","-"},0),VLOOKUP(D231,Menu!$A$2:$F$105,3,0),VLOOKUP(D231,Menu!$A$2:$F$105,4,0),VLOOKUP(D231,Menu!$A$2:$F$105,5,0),VLOOKUP(D231,Menu!$A$2:$F$105,6,0)),"N/A"))</f>
        <v>110</v>
      </c>
      <c r="H231" s="10">
        <f t="shared" si="2"/>
        <v>110</v>
      </c>
      <c r="I231" s="10">
        <f t="shared" si="3"/>
        <v>817</v>
      </c>
      <c r="J231" s="1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2">
        <v>45198.0</v>
      </c>
      <c r="B232" s="13" t="str">
        <f t="shared" si="1"/>
        <v>Friday</v>
      </c>
      <c r="C232" s="13" t="str">
        <f>IF(D232="","",VLOOKUP(D232,Menu!$A$2:$B$105,2,0))</f>
        <v>Pizza</v>
      </c>
      <c r="D232" s="13" t="s">
        <v>11</v>
      </c>
      <c r="E232" s="13" t="s">
        <v>3</v>
      </c>
      <c r="F232" s="13">
        <v>1.0</v>
      </c>
      <c r="G232" s="13">
        <f t="array" ref="G232">IF(OR(D232="",E232=""),"",IFERROR(CHOOSE(MATCH(E232,{"S","M","L","-"},0),VLOOKUP(D232,Menu!$A$2:$F$105,3,0),VLOOKUP(D232,Menu!$A$2:$F$105,4,0),VLOOKUP(D232,Menu!$A$2:$F$105,5,0),VLOOKUP(D232,Menu!$A$2:$F$105,6,0)),"N/A"))</f>
        <v>109</v>
      </c>
      <c r="H232" s="13">
        <f t="shared" si="2"/>
        <v>109</v>
      </c>
      <c r="I232" s="13">
        <f t="shared" si="3"/>
        <v>796</v>
      </c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2">
        <v>45198.0</v>
      </c>
      <c r="B233" s="13" t="str">
        <f t="shared" si="1"/>
        <v>Friday</v>
      </c>
      <c r="C233" s="13" t="str">
        <f>IF(D233="","",VLOOKUP(D233,Menu!$A$2:$B$105,2,0))</f>
        <v>Beverage</v>
      </c>
      <c r="D233" s="13" t="s">
        <v>63</v>
      </c>
      <c r="E233" s="13" t="s">
        <v>5</v>
      </c>
      <c r="F233" s="13">
        <v>4.0</v>
      </c>
      <c r="G233" s="13">
        <f t="array" ref="G233">IF(OR(D233="",E233=""),"",IFERROR(CHOOSE(MATCH(E233,{"S","M","L","-"},0),VLOOKUP(D233,Menu!$A$2:$F$105,3,0),VLOOKUP(D233,Menu!$A$2:$F$105,4,0),VLOOKUP(D233,Menu!$A$2:$F$105,5,0),VLOOKUP(D233,Menu!$A$2:$F$105,6,0)),"N/A"))</f>
        <v>20</v>
      </c>
      <c r="H233" s="13">
        <f t="shared" si="2"/>
        <v>80</v>
      </c>
      <c r="I233" s="13">
        <f t="shared" si="3"/>
        <v>796</v>
      </c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2">
        <v>45198.0</v>
      </c>
      <c r="B234" s="13" t="str">
        <f t="shared" si="1"/>
        <v>Friday</v>
      </c>
      <c r="C234" s="13" t="str">
        <f>IF(D234="","",VLOOKUP(D234,Menu!$A$2:$B$105,2,0))</f>
        <v>Pizza</v>
      </c>
      <c r="D234" s="13" t="s">
        <v>23</v>
      </c>
      <c r="E234" s="13" t="s">
        <v>3</v>
      </c>
      <c r="F234" s="13">
        <v>1.0</v>
      </c>
      <c r="G234" s="13">
        <f t="array" ref="G234">IF(OR(D234="",E234=""),"",IFERROR(CHOOSE(MATCH(E234,{"S","M","L","-"},0),VLOOKUP(D234,Menu!$A$2:$F$105,3,0),VLOOKUP(D234,Menu!$A$2:$F$105,4,0),VLOOKUP(D234,Menu!$A$2:$F$105,5,0),VLOOKUP(D234,Menu!$A$2:$F$105,6,0)),"N/A"))</f>
        <v>230</v>
      </c>
      <c r="H234" s="13">
        <f t="shared" si="2"/>
        <v>230</v>
      </c>
      <c r="I234" s="13">
        <f t="shared" si="3"/>
        <v>796</v>
      </c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2">
        <v>45198.0</v>
      </c>
      <c r="B235" s="13" t="str">
        <f t="shared" si="1"/>
        <v>Friday</v>
      </c>
      <c r="C235" s="13" t="str">
        <f>IF(D235="","",VLOOKUP(D235,Menu!$A$2:$B$105,2,0))</f>
        <v>Pizza</v>
      </c>
      <c r="D235" s="13" t="s">
        <v>15</v>
      </c>
      <c r="E235" s="13" t="s">
        <v>2</v>
      </c>
      <c r="F235" s="13">
        <v>1.0</v>
      </c>
      <c r="G235" s="13">
        <f t="array" ref="G235">IF(OR(D235="",E235=""),"",IFERROR(CHOOSE(MATCH(E235,{"S","M","L","-"},0),VLOOKUP(D235,Menu!$A$2:$F$105,3,0),VLOOKUP(D235,Menu!$A$2:$F$105,4,0),VLOOKUP(D235,Menu!$A$2:$F$105,5,0),VLOOKUP(D235,Menu!$A$2:$F$105,6,0)),"N/A"))</f>
        <v>99</v>
      </c>
      <c r="H235" s="13">
        <f t="shared" si="2"/>
        <v>99</v>
      </c>
      <c r="I235" s="13">
        <f t="shared" si="3"/>
        <v>796</v>
      </c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2">
        <v>45198.0</v>
      </c>
      <c r="B236" s="13" t="str">
        <f t="shared" si="1"/>
        <v>Friday</v>
      </c>
      <c r="C236" s="13" t="str">
        <f>IF(D236="","",VLOOKUP(D236,Menu!$A$2:$B$105,2,0))</f>
        <v>Pizza</v>
      </c>
      <c r="D236" s="13" t="s">
        <v>26</v>
      </c>
      <c r="E236" s="13" t="s">
        <v>5</v>
      </c>
      <c r="F236" s="13">
        <v>2.0</v>
      </c>
      <c r="G236" s="13">
        <f t="array" ref="G236">IF(OR(D236="",E236=""),"",IFERROR(CHOOSE(MATCH(E236,{"S","M","L","-"},0),VLOOKUP(D236,Menu!$A$2:$F$105,3,0),VLOOKUP(D236,Menu!$A$2:$F$105,4,0),VLOOKUP(D236,Menu!$A$2:$F$105,5,0),VLOOKUP(D236,Menu!$A$2:$F$105,6,0)),"N/A"))</f>
        <v>99</v>
      </c>
      <c r="H236" s="13">
        <f t="shared" si="2"/>
        <v>198</v>
      </c>
      <c r="I236" s="13">
        <f t="shared" si="3"/>
        <v>796</v>
      </c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2">
        <v>45198.0</v>
      </c>
      <c r="B237" s="13" t="str">
        <f t="shared" si="1"/>
        <v>Friday</v>
      </c>
      <c r="C237" s="13" t="str">
        <f>IF(D237="","",VLOOKUP(D237,Menu!$A$2:$B$105,2,0))</f>
        <v>Add-on</v>
      </c>
      <c r="D237" s="13" t="s">
        <v>67</v>
      </c>
      <c r="E237" s="13" t="s">
        <v>5</v>
      </c>
      <c r="F237" s="13">
        <v>2.0</v>
      </c>
      <c r="G237" s="13">
        <f t="array" ref="G237">IF(OR(D237="",E237=""),"",IFERROR(CHOOSE(MATCH(E237,{"S","M","L","-"},0),VLOOKUP(D237,Menu!$A$2:$F$105,3,0),VLOOKUP(D237,Menu!$A$2:$F$105,4,0),VLOOKUP(D237,Menu!$A$2:$F$105,5,0),VLOOKUP(D237,Menu!$A$2:$F$105,6,0)),"N/A"))</f>
        <v>40</v>
      </c>
      <c r="H237" s="13">
        <f t="shared" si="2"/>
        <v>80</v>
      </c>
      <c r="I237" s="13">
        <f t="shared" si="3"/>
        <v>796</v>
      </c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9">
        <v>45199.0</v>
      </c>
      <c r="B238" s="10" t="str">
        <f t="shared" si="1"/>
        <v>Saturday</v>
      </c>
      <c r="C238" s="10" t="str">
        <f>IF(D238="","",VLOOKUP(D238,Menu!$A$2:$B$105,2,0))</f>
        <v>Burger</v>
      </c>
      <c r="D238" s="10" t="s">
        <v>29</v>
      </c>
      <c r="E238" s="10" t="s">
        <v>5</v>
      </c>
      <c r="F238" s="10">
        <v>1.0</v>
      </c>
      <c r="G238" s="10">
        <f t="array" ref="G238">IF(OR(D238="",E238=""),"",IFERROR(CHOOSE(MATCH(E238,{"S","M","L","-"},0),VLOOKUP(D238,Menu!$A$2:$F$105,3,0),VLOOKUP(D238,Menu!$A$2:$F$105,4,0),VLOOKUP(D238,Menu!$A$2:$F$105,5,0),VLOOKUP(D238,Menu!$A$2:$F$105,6,0)),"N/A"))</f>
        <v>59</v>
      </c>
      <c r="H238" s="10">
        <f t="shared" si="2"/>
        <v>59</v>
      </c>
      <c r="I238" s="10">
        <f t="shared" si="3"/>
        <v>2087</v>
      </c>
      <c r="J238" s="1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9">
        <v>45199.0</v>
      </c>
      <c r="B239" s="10" t="str">
        <f t="shared" si="1"/>
        <v>Saturday</v>
      </c>
      <c r="C239" s="10" t="str">
        <f>IF(D239="","",VLOOKUP(D239,Menu!$A$2:$B$105,2,0))</f>
        <v>Pizza</v>
      </c>
      <c r="D239" s="10" t="s">
        <v>9</v>
      </c>
      <c r="E239" s="10" t="s">
        <v>2</v>
      </c>
      <c r="F239" s="10">
        <v>1.0</v>
      </c>
      <c r="G239" s="10">
        <f t="array" ref="G239">IF(OR(D239="",E239=""),"",IFERROR(CHOOSE(MATCH(E239,{"S","M","L","-"},0),VLOOKUP(D239,Menu!$A$2:$F$105,3,0),VLOOKUP(D239,Menu!$A$2:$F$105,4,0),VLOOKUP(D239,Menu!$A$2:$F$105,5,0),VLOOKUP(D239,Menu!$A$2:$F$105,6,0)),"N/A"))</f>
        <v>59</v>
      </c>
      <c r="H239" s="10">
        <f t="shared" si="2"/>
        <v>59</v>
      </c>
      <c r="I239" s="10">
        <f t="shared" si="3"/>
        <v>2087</v>
      </c>
      <c r="J239" s="1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9">
        <v>45199.0</v>
      </c>
      <c r="B240" s="10" t="str">
        <f t="shared" si="1"/>
        <v>Saturday</v>
      </c>
      <c r="C240" s="10" t="str">
        <f>IF(D240="","",VLOOKUP(D240,Menu!$A$2:$B$105,2,0))</f>
        <v>Pizza</v>
      </c>
      <c r="D240" s="10" t="s">
        <v>15</v>
      </c>
      <c r="E240" s="10" t="s">
        <v>2</v>
      </c>
      <c r="F240" s="10">
        <v>2.0</v>
      </c>
      <c r="G240" s="10">
        <f t="array" ref="G240">IF(OR(D240="",E240=""),"",IFERROR(CHOOSE(MATCH(E240,{"S","M","L","-"},0),VLOOKUP(D240,Menu!$A$2:$F$105,3,0),VLOOKUP(D240,Menu!$A$2:$F$105,4,0),VLOOKUP(D240,Menu!$A$2:$F$105,5,0),VLOOKUP(D240,Menu!$A$2:$F$105,6,0)),"N/A"))</f>
        <v>99</v>
      </c>
      <c r="H240" s="10">
        <f t="shared" si="2"/>
        <v>198</v>
      </c>
      <c r="I240" s="10">
        <f t="shared" si="3"/>
        <v>2087</v>
      </c>
      <c r="J240" s="1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9">
        <v>45199.0</v>
      </c>
      <c r="B241" s="10" t="str">
        <f t="shared" si="1"/>
        <v>Saturday</v>
      </c>
      <c r="C241" s="10" t="str">
        <f>IF(D241="","",VLOOKUP(D241,Menu!$A$2:$B$105,2,0))</f>
        <v>Beverage</v>
      </c>
      <c r="D241" s="10" t="s">
        <v>63</v>
      </c>
      <c r="E241" s="10" t="s">
        <v>5</v>
      </c>
      <c r="F241" s="10">
        <v>11.0</v>
      </c>
      <c r="G241" s="10">
        <f t="array" ref="G241">IF(OR(D241="",E241=""),"",IFERROR(CHOOSE(MATCH(E241,{"S","M","L","-"},0),VLOOKUP(D241,Menu!$A$2:$F$105,3,0),VLOOKUP(D241,Menu!$A$2:$F$105,4,0),VLOOKUP(D241,Menu!$A$2:$F$105,5,0),VLOOKUP(D241,Menu!$A$2:$F$105,6,0)),"N/A"))</f>
        <v>20</v>
      </c>
      <c r="H241" s="10">
        <f t="shared" si="2"/>
        <v>220</v>
      </c>
      <c r="I241" s="10">
        <f t="shared" si="3"/>
        <v>2087</v>
      </c>
      <c r="J241" s="1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9">
        <v>45199.0</v>
      </c>
      <c r="B242" s="10" t="str">
        <f t="shared" si="1"/>
        <v>Saturday</v>
      </c>
      <c r="C242" s="10" t="str">
        <f>IF(D242="","",VLOOKUP(D242,Menu!$A$2:$B$105,2,0))</f>
        <v>Burger</v>
      </c>
      <c r="D242" s="10" t="s">
        <v>27</v>
      </c>
      <c r="E242" s="10" t="s">
        <v>5</v>
      </c>
      <c r="F242" s="10">
        <v>3.0</v>
      </c>
      <c r="G242" s="10">
        <f t="array" ref="G242">IF(OR(D242="",E242=""),"",IFERROR(CHOOSE(MATCH(E242,{"S","M","L","-"},0),VLOOKUP(D242,Menu!$A$2:$F$105,3,0),VLOOKUP(D242,Menu!$A$2:$F$105,4,0),VLOOKUP(D242,Menu!$A$2:$F$105,5,0),VLOOKUP(D242,Menu!$A$2:$F$105,6,0)),"N/A"))</f>
        <v>39</v>
      </c>
      <c r="H242" s="10">
        <f t="shared" si="2"/>
        <v>117</v>
      </c>
      <c r="I242" s="10">
        <f t="shared" si="3"/>
        <v>2087</v>
      </c>
      <c r="J242" s="1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9">
        <v>45199.0</v>
      </c>
      <c r="B243" s="10" t="str">
        <f t="shared" si="1"/>
        <v>Saturday</v>
      </c>
      <c r="C243" s="10" t="str">
        <f>IF(D243="","",VLOOKUP(D243,Menu!$A$2:$B$105,2,0))</f>
        <v>Pizza</v>
      </c>
      <c r="D243" s="10" t="s">
        <v>16</v>
      </c>
      <c r="E243" s="10" t="s">
        <v>2</v>
      </c>
      <c r="F243" s="10">
        <v>2.0</v>
      </c>
      <c r="G243" s="10">
        <f t="array" ref="G243">IF(OR(D243="",E243=""),"",IFERROR(CHOOSE(MATCH(E243,{"S","M","L","-"},0),VLOOKUP(D243,Menu!$A$2:$F$105,3,0),VLOOKUP(D243,Menu!$A$2:$F$105,4,0),VLOOKUP(D243,Menu!$A$2:$F$105,5,0),VLOOKUP(D243,Menu!$A$2:$F$105,6,0)),"N/A"))</f>
        <v>109</v>
      </c>
      <c r="H243" s="10">
        <f t="shared" si="2"/>
        <v>218</v>
      </c>
      <c r="I243" s="10">
        <f t="shared" si="3"/>
        <v>2087</v>
      </c>
      <c r="J243" s="1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9">
        <v>45199.0</v>
      </c>
      <c r="B244" s="10" t="str">
        <f t="shared" si="1"/>
        <v>Saturday</v>
      </c>
      <c r="C244" s="10" t="str">
        <f>IF(D244="","",VLOOKUP(D244,Menu!$A$2:$B$105,2,0))</f>
        <v>Pizza</v>
      </c>
      <c r="D244" s="10" t="s">
        <v>17</v>
      </c>
      <c r="E244" s="10" t="s">
        <v>4</v>
      </c>
      <c r="F244" s="10">
        <v>1.0</v>
      </c>
      <c r="G244" s="10">
        <f t="array" ref="G244">IF(OR(D244="",E244=""),"",IFERROR(CHOOSE(MATCH(E244,{"S","M","L","-"},0),VLOOKUP(D244,Menu!$A$2:$F$105,3,0),VLOOKUP(D244,Menu!$A$2:$F$105,4,0),VLOOKUP(D244,Menu!$A$2:$F$105,5,0),VLOOKUP(D244,Menu!$A$2:$F$105,6,0)),"N/A"))</f>
        <v>299</v>
      </c>
      <c r="H244" s="10">
        <f t="shared" si="2"/>
        <v>299</v>
      </c>
      <c r="I244" s="10">
        <f t="shared" si="3"/>
        <v>2087</v>
      </c>
      <c r="J244" s="1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9">
        <v>45199.0</v>
      </c>
      <c r="B245" s="10" t="str">
        <f t="shared" si="1"/>
        <v>Saturday</v>
      </c>
      <c r="C245" s="10" t="str">
        <f>IF(D245="","",VLOOKUP(D245,Menu!$A$2:$B$105,2,0))</f>
        <v>Add-on</v>
      </c>
      <c r="D245" s="10" t="s">
        <v>67</v>
      </c>
      <c r="E245" s="10" t="s">
        <v>5</v>
      </c>
      <c r="F245" s="10">
        <v>2.0</v>
      </c>
      <c r="G245" s="10">
        <f t="array" ref="G245">IF(OR(D245="",E245=""),"",IFERROR(CHOOSE(MATCH(E245,{"S","M","L","-"},0),VLOOKUP(D245,Menu!$A$2:$F$105,3,0),VLOOKUP(D245,Menu!$A$2:$F$105,4,0),VLOOKUP(D245,Menu!$A$2:$F$105,5,0),VLOOKUP(D245,Menu!$A$2:$F$105,6,0)),"N/A"))</f>
        <v>40</v>
      </c>
      <c r="H245" s="10">
        <f t="shared" si="2"/>
        <v>80</v>
      </c>
      <c r="I245" s="10">
        <f t="shared" si="3"/>
        <v>2087</v>
      </c>
      <c r="J245" s="1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9">
        <v>45199.0</v>
      </c>
      <c r="B246" s="10" t="str">
        <f t="shared" si="1"/>
        <v>Saturday</v>
      </c>
      <c r="C246" s="10" t="str">
        <f>IF(D246="","",VLOOKUP(D246,Menu!$A$2:$B$105,2,0))</f>
        <v>Pizza</v>
      </c>
      <c r="D246" s="10" t="s">
        <v>16</v>
      </c>
      <c r="E246" s="10" t="s">
        <v>4</v>
      </c>
      <c r="F246" s="10">
        <v>1.0</v>
      </c>
      <c r="G246" s="10">
        <f t="array" ref="G246">IF(OR(D246="",E246=""),"",IFERROR(CHOOSE(MATCH(E246,{"S","M","L","-"},0),VLOOKUP(D246,Menu!$A$2:$F$105,3,0),VLOOKUP(D246,Menu!$A$2:$F$105,4,0),VLOOKUP(D246,Menu!$A$2:$F$105,5,0),VLOOKUP(D246,Menu!$A$2:$F$105,6,0)),"N/A"))</f>
        <v>289</v>
      </c>
      <c r="H246" s="10">
        <f t="shared" si="2"/>
        <v>289</v>
      </c>
      <c r="I246" s="10">
        <f t="shared" si="3"/>
        <v>2087</v>
      </c>
      <c r="J246" s="10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9">
        <v>45199.0</v>
      </c>
      <c r="B247" s="10" t="str">
        <f t="shared" si="1"/>
        <v>Saturday</v>
      </c>
      <c r="C247" s="10" t="str">
        <f>IF(D247="","",VLOOKUP(D247,Menu!$A$2:$B$105,2,0))</f>
        <v>Pizza</v>
      </c>
      <c r="D247" s="10" t="s">
        <v>11</v>
      </c>
      <c r="E247" s="10" t="s">
        <v>2</v>
      </c>
      <c r="F247" s="10">
        <v>1.0</v>
      </c>
      <c r="G247" s="10">
        <f t="array" ref="G247">IF(OR(D247="",E247=""),"",IFERROR(CHOOSE(MATCH(E247,{"S","M","L","-"},0),VLOOKUP(D247,Menu!$A$2:$F$105,3,0),VLOOKUP(D247,Menu!$A$2:$F$105,4,0),VLOOKUP(D247,Menu!$A$2:$F$105,5,0),VLOOKUP(D247,Menu!$A$2:$F$105,6,0)),"N/A"))</f>
        <v>69</v>
      </c>
      <c r="H247" s="10">
        <f t="shared" si="2"/>
        <v>69</v>
      </c>
      <c r="I247" s="10">
        <f t="shared" si="3"/>
        <v>2087</v>
      </c>
      <c r="J247" s="1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9">
        <v>45199.0</v>
      </c>
      <c r="B248" s="10" t="str">
        <f t="shared" si="1"/>
        <v>Saturday</v>
      </c>
      <c r="C248" s="10" t="str">
        <f>IF(D248="","",VLOOKUP(D248,Menu!$A$2:$B$105,2,0))</f>
        <v>Pizza</v>
      </c>
      <c r="D248" s="10" t="s">
        <v>24</v>
      </c>
      <c r="E248" s="10" t="s">
        <v>2</v>
      </c>
      <c r="F248" s="10">
        <v>1.0</v>
      </c>
      <c r="G248" s="10">
        <f t="array" ref="G248">IF(OR(D248="",E248=""),"",IFERROR(CHOOSE(MATCH(E248,{"S","M","L","-"},0),VLOOKUP(D248,Menu!$A$2:$F$105,3,0),VLOOKUP(D248,Menu!$A$2:$F$105,4,0),VLOOKUP(D248,Menu!$A$2:$F$105,5,0),VLOOKUP(D248,Menu!$A$2:$F$105,6,0)),"N/A"))</f>
        <v>149</v>
      </c>
      <c r="H248" s="10">
        <f t="shared" si="2"/>
        <v>149</v>
      </c>
      <c r="I248" s="10">
        <f t="shared" si="3"/>
        <v>2087</v>
      </c>
      <c r="J248" s="1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9">
        <v>45199.0</v>
      </c>
      <c r="B249" s="10" t="str">
        <f t="shared" si="1"/>
        <v>Saturday</v>
      </c>
      <c r="C249" s="10" t="str">
        <f>IF(D249="","",VLOOKUP(D249,Menu!$A$2:$B$105,2,0))</f>
        <v>Dessert</v>
      </c>
      <c r="D249" s="10" t="s">
        <v>53</v>
      </c>
      <c r="E249" s="10" t="s">
        <v>5</v>
      </c>
      <c r="F249" s="10">
        <v>1.0</v>
      </c>
      <c r="G249" s="10">
        <f t="array" ref="G249">IF(OR(D249="",E249=""),"",IFERROR(CHOOSE(MATCH(E249,{"S","M","L","-"},0),VLOOKUP(D249,Menu!$A$2:$F$105,3,0),VLOOKUP(D249,Menu!$A$2:$F$105,4,0),VLOOKUP(D249,Menu!$A$2:$F$105,5,0),VLOOKUP(D249,Menu!$A$2:$F$105,6,0)),"N/A"))</f>
        <v>30</v>
      </c>
      <c r="H249" s="10">
        <f t="shared" si="2"/>
        <v>30</v>
      </c>
      <c r="I249" s="10">
        <f t="shared" si="3"/>
        <v>2087</v>
      </c>
      <c r="J249" s="1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9">
        <v>45199.0</v>
      </c>
      <c r="B250" s="10" t="str">
        <f t="shared" si="1"/>
        <v>Saturday</v>
      </c>
      <c r="C250" s="10" t="str">
        <f>IF(D250="","",VLOOKUP(D250,Menu!$A$2:$B$105,2,0))</f>
        <v>Shake</v>
      </c>
      <c r="D250" s="10" t="s">
        <v>46</v>
      </c>
      <c r="E250" s="10" t="s">
        <v>5</v>
      </c>
      <c r="F250" s="10">
        <v>6.0</v>
      </c>
      <c r="G250" s="10">
        <f t="array" ref="G250">IF(OR(D250="",E250=""),"",IFERROR(CHOOSE(MATCH(E250,{"S","M","L","-"},0),VLOOKUP(D250,Menu!$A$2:$F$105,3,0),VLOOKUP(D250,Menu!$A$2:$F$105,4,0),VLOOKUP(D250,Menu!$A$2:$F$105,5,0),VLOOKUP(D250,Menu!$A$2:$F$105,6,0)),"N/A"))</f>
        <v>50</v>
      </c>
      <c r="H250" s="10">
        <f t="shared" si="2"/>
        <v>300</v>
      </c>
      <c r="I250" s="10">
        <f t="shared" si="3"/>
        <v>2087</v>
      </c>
      <c r="J250" s="1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2">
        <v>45200.0</v>
      </c>
      <c r="B251" s="13" t="str">
        <f t="shared" si="1"/>
        <v>Sunday</v>
      </c>
      <c r="C251" s="13" t="str">
        <f>IF(D251="","",VLOOKUP(D251,Menu!$A$2:$B$105,2,0))</f>
        <v>Pizza</v>
      </c>
      <c r="D251" s="13" t="s">
        <v>6</v>
      </c>
      <c r="E251" s="13" t="s">
        <v>2</v>
      </c>
      <c r="F251" s="13">
        <v>1.0</v>
      </c>
      <c r="G251" s="13">
        <f t="array" ref="G251">IF(OR(D251="",E251=""),"",IFERROR(CHOOSE(MATCH(E251,{"S","M","L","-"},0),VLOOKUP(D251,Menu!$A$2:$F$105,3,0),VLOOKUP(D251,Menu!$A$2:$F$105,4,0),VLOOKUP(D251,Menu!$A$2:$F$105,5,0),VLOOKUP(D251,Menu!$A$2:$F$105,6,0)),"N/A"))</f>
        <v>49</v>
      </c>
      <c r="H251" s="13">
        <f t="shared" si="2"/>
        <v>49</v>
      </c>
      <c r="I251" s="13">
        <f t="shared" si="3"/>
        <v>2066</v>
      </c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2">
        <v>45200.0</v>
      </c>
      <c r="B252" s="13" t="str">
        <f t="shared" si="1"/>
        <v>Sunday</v>
      </c>
      <c r="C252" s="13" t="str">
        <f>IF(D252="","",VLOOKUP(D252,Menu!$A$2:$B$105,2,0))</f>
        <v>Pizza</v>
      </c>
      <c r="D252" s="13" t="s">
        <v>8</v>
      </c>
      <c r="E252" s="13" t="s">
        <v>3</v>
      </c>
      <c r="F252" s="13">
        <v>1.0</v>
      </c>
      <c r="G252" s="13">
        <f t="array" ref="G252">IF(OR(D252="",E252=""),"",IFERROR(CHOOSE(MATCH(E252,{"S","M","L","-"},0),VLOOKUP(D252,Menu!$A$2:$F$105,3,0),VLOOKUP(D252,Menu!$A$2:$F$105,4,0),VLOOKUP(D252,Menu!$A$2:$F$105,5,0),VLOOKUP(D252,Menu!$A$2:$F$105,6,0)),"N/A"))</f>
        <v>109</v>
      </c>
      <c r="H252" s="13">
        <f t="shared" si="2"/>
        <v>109</v>
      </c>
      <c r="I252" s="13">
        <f t="shared" si="3"/>
        <v>2066</v>
      </c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2">
        <v>45200.0</v>
      </c>
      <c r="B253" s="13" t="str">
        <f t="shared" si="1"/>
        <v>Sunday</v>
      </c>
      <c r="C253" s="13" t="str">
        <f>IF(D253="","",VLOOKUP(D253,Menu!$A$2:$B$105,2,0))</f>
        <v>Pizza</v>
      </c>
      <c r="D253" s="13" t="s">
        <v>13</v>
      </c>
      <c r="E253" s="13" t="s">
        <v>2</v>
      </c>
      <c r="F253" s="13">
        <v>1.0</v>
      </c>
      <c r="G253" s="13">
        <f t="array" ref="G253">IF(OR(D253="",E253=""),"",IFERROR(CHOOSE(MATCH(E253,{"S","M","L","-"},0),VLOOKUP(D253,Menu!$A$2:$F$105,3,0),VLOOKUP(D253,Menu!$A$2:$F$105,4,0),VLOOKUP(D253,Menu!$A$2:$F$105,5,0),VLOOKUP(D253,Menu!$A$2:$F$105,6,0)),"N/A"))</f>
        <v>79</v>
      </c>
      <c r="H253" s="13">
        <f t="shared" si="2"/>
        <v>79</v>
      </c>
      <c r="I253" s="13">
        <f t="shared" si="3"/>
        <v>2066</v>
      </c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2">
        <v>45200.0</v>
      </c>
      <c r="B254" s="13" t="str">
        <f t="shared" si="1"/>
        <v>Sunday</v>
      </c>
      <c r="C254" s="13" t="str">
        <f>IF(D254="","",VLOOKUP(D254,Menu!$A$2:$B$105,2,0))</f>
        <v>Shake</v>
      </c>
      <c r="D254" s="13" t="s">
        <v>45</v>
      </c>
      <c r="E254" s="13" t="s">
        <v>5</v>
      </c>
      <c r="F254" s="13">
        <v>2.0</v>
      </c>
      <c r="G254" s="13">
        <f t="array" ref="G254">IF(OR(D254="",E254=""),"",IFERROR(CHOOSE(MATCH(E254,{"S","M","L","-"},0),VLOOKUP(D254,Menu!$A$2:$F$105,3,0),VLOOKUP(D254,Menu!$A$2:$F$105,4,0),VLOOKUP(D254,Menu!$A$2:$F$105,5,0),VLOOKUP(D254,Menu!$A$2:$F$105,6,0)),"N/A"))</f>
        <v>50</v>
      </c>
      <c r="H254" s="13">
        <f t="shared" si="2"/>
        <v>100</v>
      </c>
      <c r="I254" s="13">
        <f t="shared" si="3"/>
        <v>2066</v>
      </c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2">
        <v>45200.0</v>
      </c>
      <c r="B255" s="13" t="str">
        <f t="shared" si="1"/>
        <v>Sunday</v>
      </c>
      <c r="C255" s="13" t="str">
        <f>IF(D255="","",VLOOKUP(D255,Menu!$A$2:$B$105,2,0))</f>
        <v>Pizza</v>
      </c>
      <c r="D255" s="13" t="s">
        <v>26</v>
      </c>
      <c r="E255" s="13" t="s">
        <v>5</v>
      </c>
      <c r="F255" s="13">
        <v>3.0</v>
      </c>
      <c r="G255" s="13">
        <f t="array" ref="G255">IF(OR(D255="",E255=""),"",IFERROR(CHOOSE(MATCH(E255,{"S","M","L","-"},0),VLOOKUP(D255,Menu!$A$2:$F$105,3,0),VLOOKUP(D255,Menu!$A$2:$F$105,4,0),VLOOKUP(D255,Menu!$A$2:$F$105,5,0),VLOOKUP(D255,Menu!$A$2:$F$105,6,0)),"N/A"))</f>
        <v>99</v>
      </c>
      <c r="H255" s="13">
        <f t="shared" si="2"/>
        <v>297</v>
      </c>
      <c r="I255" s="13">
        <f t="shared" si="3"/>
        <v>2066</v>
      </c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2">
        <v>45200.0</v>
      </c>
      <c r="B256" s="13" t="str">
        <f t="shared" si="1"/>
        <v>Sunday</v>
      </c>
      <c r="C256" s="13" t="str">
        <f>IF(D256="","",VLOOKUP(D256,Menu!$A$2:$B$105,2,0))</f>
        <v>Pizza</v>
      </c>
      <c r="D256" s="13" t="s">
        <v>15</v>
      </c>
      <c r="E256" s="13" t="s">
        <v>2</v>
      </c>
      <c r="F256" s="13">
        <v>1.0</v>
      </c>
      <c r="G256" s="13">
        <f t="array" ref="G256">IF(OR(D256="",E256=""),"",IFERROR(CHOOSE(MATCH(E256,{"S","M","L","-"},0),VLOOKUP(D256,Menu!$A$2:$F$105,3,0),VLOOKUP(D256,Menu!$A$2:$F$105,4,0),VLOOKUP(D256,Menu!$A$2:$F$105,5,0),VLOOKUP(D256,Menu!$A$2:$F$105,6,0)),"N/A"))</f>
        <v>99</v>
      </c>
      <c r="H256" s="13">
        <f t="shared" si="2"/>
        <v>99</v>
      </c>
      <c r="I256" s="13">
        <f t="shared" si="3"/>
        <v>2066</v>
      </c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2">
        <v>45200.0</v>
      </c>
      <c r="B257" s="13" t="str">
        <f t="shared" si="1"/>
        <v>Sunday</v>
      </c>
      <c r="C257" s="13" t="str">
        <f>IF(D257="","",VLOOKUP(D257,Menu!$A$2:$B$105,2,0))</f>
        <v>Pizza</v>
      </c>
      <c r="D257" s="13" t="s">
        <v>14</v>
      </c>
      <c r="E257" s="13" t="s">
        <v>2</v>
      </c>
      <c r="F257" s="13">
        <v>1.0</v>
      </c>
      <c r="G257" s="13">
        <f t="array" ref="G257">IF(OR(D257="",E257=""),"",IFERROR(CHOOSE(MATCH(E257,{"S","M","L","-"},0),VLOOKUP(D257,Menu!$A$2:$F$105,3,0),VLOOKUP(D257,Menu!$A$2:$F$105,4,0),VLOOKUP(D257,Menu!$A$2:$F$105,5,0),VLOOKUP(D257,Menu!$A$2:$F$105,6,0)),"N/A"))</f>
        <v>79</v>
      </c>
      <c r="H257" s="13">
        <f t="shared" si="2"/>
        <v>79</v>
      </c>
      <c r="I257" s="13">
        <f t="shared" si="3"/>
        <v>2066</v>
      </c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2">
        <v>45200.0</v>
      </c>
      <c r="B258" s="13" t="str">
        <f t="shared" si="1"/>
        <v>Sunday</v>
      </c>
      <c r="C258" s="13" t="str">
        <f>IF(D258="","",VLOOKUP(D258,Menu!$A$2:$B$105,2,0))</f>
        <v>Pizza</v>
      </c>
      <c r="D258" s="13" t="s">
        <v>8</v>
      </c>
      <c r="E258" s="13" t="s">
        <v>2</v>
      </c>
      <c r="F258" s="13">
        <v>1.0</v>
      </c>
      <c r="G258" s="13">
        <f t="array" ref="G258">IF(OR(D258="",E258=""),"",IFERROR(CHOOSE(MATCH(E258,{"S","M","L","-"},0),VLOOKUP(D258,Menu!$A$2:$F$105,3,0),VLOOKUP(D258,Menu!$A$2:$F$105,4,0),VLOOKUP(D258,Menu!$A$2:$F$105,5,0),VLOOKUP(D258,Menu!$A$2:$F$105,6,0)),"N/A"))</f>
        <v>59</v>
      </c>
      <c r="H258" s="13">
        <f t="shared" si="2"/>
        <v>59</v>
      </c>
      <c r="I258" s="13">
        <f t="shared" si="3"/>
        <v>2066</v>
      </c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2">
        <v>45200.0</v>
      </c>
      <c r="B259" s="13" t="str">
        <f t="shared" si="1"/>
        <v>Sunday</v>
      </c>
      <c r="C259" s="13" t="str">
        <f>IF(D259="","",VLOOKUP(D259,Menu!$A$2:$B$105,2,0))</f>
        <v>Pizza</v>
      </c>
      <c r="D259" s="13" t="s">
        <v>23</v>
      </c>
      <c r="E259" s="13" t="s">
        <v>4</v>
      </c>
      <c r="F259" s="13">
        <v>1.0</v>
      </c>
      <c r="G259" s="13">
        <f t="array" ref="G259">IF(OR(D259="",E259=""),"",IFERROR(CHOOSE(MATCH(E259,{"S","M","L","-"},0),VLOOKUP(D259,Menu!$A$2:$F$105,3,0),VLOOKUP(D259,Menu!$A$2:$F$105,4,0),VLOOKUP(D259,Menu!$A$2:$F$105,5,0),VLOOKUP(D259,Menu!$A$2:$F$105,6,0)),"N/A"))</f>
        <v>339</v>
      </c>
      <c r="H259" s="13">
        <f t="shared" si="2"/>
        <v>339</v>
      </c>
      <c r="I259" s="13">
        <f t="shared" si="3"/>
        <v>2066</v>
      </c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2">
        <v>45200.0</v>
      </c>
      <c r="B260" s="13" t="str">
        <f t="shared" si="1"/>
        <v>Sunday</v>
      </c>
      <c r="C260" s="13" t="str">
        <f>IF(D260="","",VLOOKUP(D260,Menu!$A$2:$B$105,2,0))</f>
        <v>Beverage</v>
      </c>
      <c r="D260" s="13" t="s">
        <v>63</v>
      </c>
      <c r="E260" s="13" t="s">
        <v>5</v>
      </c>
      <c r="F260" s="13">
        <v>4.0</v>
      </c>
      <c r="G260" s="13">
        <f t="array" ref="G260">IF(OR(D260="",E260=""),"",IFERROR(CHOOSE(MATCH(E260,{"S","M","L","-"},0),VLOOKUP(D260,Menu!$A$2:$F$105,3,0),VLOOKUP(D260,Menu!$A$2:$F$105,4,0),VLOOKUP(D260,Menu!$A$2:$F$105,5,0),VLOOKUP(D260,Menu!$A$2:$F$105,6,0)),"N/A"))</f>
        <v>20</v>
      </c>
      <c r="H260" s="13">
        <f t="shared" si="2"/>
        <v>80</v>
      </c>
      <c r="I260" s="13">
        <f t="shared" si="3"/>
        <v>2066</v>
      </c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2">
        <v>45200.0</v>
      </c>
      <c r="B261" s="13" t="str">
        <f t="shared" si="1"/>
        <v>Sunday</v>
      </c>
      <c r="C261" s="13" t="str">
        <f>IF(D261="","",VLOOKUP(D261,Menu!$A$2:$B$105,2,0))</f>
        <v>Shake</v>
      </c>
      <c r="D261" s="13" t="s">
        <v>46</v>
      </c>
      <c r="E261" s="13" t="s">
        <v>5</v>
      </c>
      <c r="F261" s="13">
        <v>6.0</v>
      </c>
      <c r="G261" s="13">
        <f t="array" ref="G261">IF(OR(D261="",E261=""),"",IFERROR(CHOOSE(MATCH(E261,{"S","M","L","-"},0),VLOOKUP(D261,Menu!$A$2:$F$105,3,0),VLOOKUP(D261,Menu!$A$2:$F$105,4,0),VLOOKUP(D261,Menu!$A$2:$F$105,5,0),VLOOKUP(D261,Menu!$A$2:$F$105,6,0)),"N/A"))</f>
        <v>50</v>
      </c>
      <c r="H261" s="13">
        <f t="shared" si="2"/>
        <v>300</v>
      </c>
      <c r="I261" s="13">
        <f t="shared" si="3"/>
        <v>2066</v>
      </c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2">
        <v>45200.0</v>
      </c>
      <c r="B262" s="13" t="str">
        <f t="shared" si="1"/>
        <v>Sunday</v>
      </c>
      <c r="C262" s="13" t="str">
        <f>IF(D262="","",VLOOKUP(D262,Menu!$A$2:$B$105,2,0))</f>
        <v>Shake</v>
      </c>
      <c r="D262" s="13" t="s">
        <v>38</v>
      </c>
      <c r="E262" s="13" t="s">
        <v>5</v>
      </c>
      <c r="F262" s="13">
        <v>1.0</v>
      </c>
      <c r="G262" s="13">
        <f t="array" ref="G262">IF(OR(D262="",E262=""),"",IFERROR(CHOOSE(MATCH(E262,{"S","M","L","-"},0),VLOOKUP(D262,Menu!$A$2:$F$105,3,0),VLOOKUP(D262,Menu!$A$2:$F$105,4,0),VLOOKUP(D262,Menu!$A$2:$F$105,5,0),VLOOKUP(D262,Menu!$A$2:$F$105,6,0)),"N/A"))</f>
        <v>70</v>
      </c>
      <c r="H262" s="13">
        <f t="shared" si="2"/>
        <v>70</v>
      </c>
      <c r="I262" s="13">
        <f t="shared" si="3"/>
        <v>2066</v>
      </c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2">
        <v>45200.0</v>
      </c>
      <c r="B263" s="13" t="str">
        <f t="shared" si="1"/>
        <v>Sunday</v>
      </c>
      <c r="C263" s="13" t="str">
        <f>IF(D263="","",VLOOKUP(D263,Menu!$A$2:$B$105,2,0))</f>
        <v>Hot Dog</v>
      </c>
      <c r="D263" s="13" t="s">
        <v>32</v>
      </c>
      <c r="E263" s="13" t="s">
        <v>5</v>
      </c>
      <c r="F263" s="13">
        <v>1.0</v>
      </c>
      <c r="G263" s="13">
        <f t="array" ref="G263">IF(OR(D263="",E263=""),"",IFERROR(CHOOSE(MATCH(E263,{"S","M","L","-"},0),VLOOKUP(D263,Menu!$A$2:$F$105,3,0),VLOOKUP(D263,Menu!$A$2:$F$105,4,0),VLOOKUP(D263,Menu!$A$2:$F$105,5,0),VLOOKUP(D263,Menu!$A$2:$F$105,6,0)),"N/A"))</f>
        <v>70</v>
      </c>
      <c r="H263" s="13">
        <f t="shared" si="2"/>
        <v>70</v>
      </c>
      <c r="I263" s="13">
        <f t="shared" si="3"/>
        <v>2066</v>
      </c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2">
        <v>45200.0</v>
      </c>
      <c r="B264" s="13" t="str">
        <f t="shared" si="1"/>
        <v>Sunday</v>
      </c>
      <c r="C264" s="13" t="str">
        <f>IF(D264="","",VLOOKUP(D264,Menu!$A$2:$B$105,2,0))</f>
        <v>Dessert</v>
      </c>
      <c r="D264" s="13" t="s">
        <v>56</v>
      </c>
      <c r="E264" s="13" t="s">
        <v>5</v>
      </c>
      <c r="F264" s="13">
        <v>1.0</v>
      </c>
      <c r="G264" s="13">
        <f t="array" ref="G264">IF(OR(D264="",E264=""),"",IFERROR(CHOOSE(MATCH(E264,{"S","M","L","-"},0),VLOOKUP(D264,Menu!$A$2:$F$105,3,0),VLOOKUP(D264,Menu!$A$2:$F$105,4,0),VLOOKUP(D264,Menu!$A$2:$F$105,5,0),VLOOKUP(D264,Menu!$A$2:$F$105,6,0)),"N/A"))</f>
        <v>110</v>
      </c>
      <c r="H264" s="13">
        <f t="shared" si="2"/>
        <v>110</v>
      </c>
      <c r="I264" s="13">
        <f t="shared" si="3"/>
        <v>2066</v>
      </c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2">
        <v>45200.0</v>
      </c>
      <c r="B265" s="13" t="str">
        <f t="shared" si="1"/>
        <v>Sunday</v>
      </c>
      <c r="C265" s="13" t="str">
        <f>IF(D265="","",VLOOKUP(D265,Menu!$A$2:$B$105,2,0))</f>
        <v>Burger</v>
      </c>
      <c r="D265" s="13" t="s">
        <v>27</v>
      </c>
      <c r="E265" s="13" t="s">
        <v>5</v>
      </c>
      <c r="F265" s="13">
        <v>3.0</v>
      </c>
      <c r="G265" s="13">
        <f t="array" ref="G265">IF(OR(D265="",E265=""),"",IFERROR(CHOOSE(MATCH(E265,{"S","M","L","-"},0),VLOOKUP(D265,Menu!$A$2:$F$105,3,0),VLOOKUP(D265,Menu!$A$2:$F$105,4,0),VLOOKUP(D265,Menu!$A$2:$F$105,5,0),VLOOKUP(D265,Menu!$A$2:$F$105,6,0)),"N/A"))</f>
        <v>39</v>
      </c>
      <c r="H265" s="13">
        <f t="shared" si="2"/>
        <v>117</v>
      </c>
      <c r="I265" s="13">
        <f t="shared" si="3"/>
        <v>2066</v>
      </c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2">
        <v>45200.0</v>
      </c>
      <c r="B266" s="13" t="str">
        <f t="shared" si="1"/>
        <v>Sunday</v>
      </c>
      <c r="C266" s="13" t="str">
        <f>IF(D266="","",VLOOKUP(D266,Menu!$A$2:$B$105,2,0))</f>
        <v>Pizza</v>
      </c>
      <c r="D266" s="13" t="s">
        <v>16</v>
      </c>
      <c r="E266" s="13" t="s">
        <v>2</v>
      </c>
      <c r="F266" s="13">
        <v>1.0</v>
      </c>
      <c r="G266" s="13">
        <f t="array" ref="G266">IF(OR(D266="",E266=""),"",IFERROR(CHOOSE(MATCH(E266,{"S","M","L","-"},0),VLOOKUP(D266,Menu!$A$2:$F$105,3,0),VLOOKUP(D266,Menu!$A$2:$F$105,4,0),VLOOKUP(D266,Menu!$A$2:$F$105,5,0),VLOOKUP(D266,Menu!$A$2:$F$105,6,0)),"N/A"))</f>
        <v>109</v>
      </c>
      <c r="H266" s="13">
        <f t="shared" si="2"/>
        <v>109</v>
      </c>
      <c r="I266" s="13">
        <f t="shared" si="3"/>
        <v>2066</v>
      </c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9">
        <v>45206.0</v>
      </c>
      <c r="B267" s="10" t="str">
        <f t="shared" si="1"/>
        <v>Saturday</v>
      </c>
      <c r="C267" s="10" t="str">
        <f>IF(D267="","",VLOOKUP(D267,Menu!$A$2:$B$105,2,0))</f>
        <v>Pizza</v>
      </c>
      <c r="D267" s="10" t="s">
        <v>6</v>
      </c>
      <c r="E267" s="10" t="s">
        <v>2</v>
      </c>
      <c r="F267" s="10">
        <v>2.0</v>
      </c>
      <c r="G267" s="10">
        <f t="array" ref="G267">IF(OR(D267="",E267=""),"",IFERROR(CHOOSE(MATCH(E267,{"S","M","L","-"},0),VLOOKUP(D267,Menu!$A$2:$F$105,3,0),VLOOKUP(D267,Menu!$A$2:$F$105,4,0),VLOOKUP(D267,Menu!$A$2:$F$105,5,0),VLOOKUP(D267,Menu!$A$2:$F$105,6,0)),"N/A"))</f>
        <v>49</v>
      </c>
      <c r="H267" s="10">
        <f t="shared" si="2"/>
        <v>98</v>
      </c>
      <c r="I267" s="10">
        <f t="shared" si="3"/>
        <v>1965</v>
      </c>
      <c r="J267" s="1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9">
        <v>45206.0</v>
      </c>
      <c r="B268" s="10" t="str">
        <f t="shared" si="1"/>
        <v>Saturday</v>
      </c>
      <c r="C268" s="10" t="str">
        <f>IF(D268="","",VLOOKUP(D268,Menu!$A$2:$B$105,2,0))</f>
        <v>Pizza</v>
      </c>
      <c r="D268" s="10" t="s">
        <v>24</v>
      </c>
      <c r="E268" s="10" t="s">
        <v>2</v>
      </c>
      <c r="F268" s="10">
        <v>1.0</v>
      </c>
      <c r="G268" s="10">
        <f t="array" ref="G268">IF(OR(D268="",E268=""),"",IFERROR(CHOOSE(MATCH(E268,{"S","M","L","-"},0),VLOOKUP(D268,Menu!$A$2:$F$105,3,0),VLOOKUP(D268,Menu!$A$2:$F$105,4,0),VLOOKUP(D268,Menu!$A$2:$F$105,5,0),VLOOKUP(D268,Menu!$A$2:$F$105,6,0)),"N/A"))</f>
        <v>149</v>
      </c>
      <c r="H268" s="10">
        <f t="shared" si="2"/>
        <v>149</v>
      </c>
      <c r="I268" s="10">
        <f t="shared" si="3"/>
        <v>1965</v>
      </c>
      <c r="J268" s="1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9">
        <v>45206.0</v>
      </c>
      <c r="B269" s="10" t="str">
        <f t="shared" si="1"/>
        <v>Saturday</v>
      </c>
      <c r="C269" s="10" t="str">
        <f>IF(D269="","",VLOOKUP(D269,Menu!$A$2:$B$105,2,0))</f>
        <v>Pizza</v>
      </c>
      <c r="D269" s="10" t="s">
        <v>21</v>
      </c>
      <c r="E269" s="10" t="s">
        <v>2</v>
      </c>
      <c r="F269" s="10">
        <v>1.0</v>
      </c>
      <c r="G269" s="10">
        <f t="array" ref="G269">IF(OR(D269="",E269=""),"",IFERROR(CHOOSE(MATCH(E269,{"S","M","L","-"},0),VLOOKUP(D269,Menu!$A$2:$F$105,3,0),VLOOKUP(D269,Menu!$A$2:$F$105,4,0),VLOOKUP(D269,Menu!$A$2:$F$105,5,0),VLOOKUP(D269,Menu!$A$2:$F$105,6,0)),"N/A"))</f>
        <v>119</v>
      </c>
      <c r="H269" s="10">
        <f t="shared" si="2"/>
        <v>119</v>
      </c>
      <c r="I269" s="10">
        <f t="shared" si="3"/>
        <v>1965</v>
      </c>
      <c r="J269" s="1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9">
        <v>45206.0</v>
      </c>
      <c r="B270" s="10" t="str">
        <f t="shared" si="1"/>
        <v>Saturday</v>
      </c>
      <c r="C270" s="10" t="str">
        <f>IF(D270="","",VLOOKUP(D270,Menu!$A$2:$B$105,2,0))</f>
        <v>Combo</v>
      </c>
      <c r="D270" s="10" t="s">
        <v>57</v>
      </c>
      <c r="E270" s="10" t="s">
        <v>5</v>
      </c>
      <c r="F270" s="10">
        <v>1.0</v>
      </c>
      <c r="G270" s="10">
        <f t="array" ref="G270">IF(OR(D270="",E270=""),"",IFERROR(CHOOSE(MATCH(E270,{"S","M","L","-"},0),VLOOKUP(D270,Menu!$A$2:$F$105,3,0),VLOOKUP(D270,Menu!$A$2:$F$105,4,0),VLOOKUP(D270,Menu!$A$2:$F$105,5,0),VLOOKUP(D270,Menu!$A$2:$F$105,6,0)),"N/A"))</f>
        <v>149</v>
      </c>
      <c r="H270" s="10">
        <f t="shared" si="2"/>
        <v>149</v>
      </c>
      <c r="I270" s="10">
        <f t="shared" si="3"/>
        <v>1965</v>
      </c>
      <c r="J270" s="1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9">
        <v>45206.0</v>
      </c>
      <c r="B271" s="10" t="str">
        <f t="shared" si="1"/>
        <v>Saturday</v>
      </c>
      <c r="C271" s="10" t="str">
        <f>IF(D271="","",VLOOKUP(D271,Menu!$A$2:$B$105,2,0))</f>
        <v>Dessert</v>
      </c>
      <c r="D271" s="10" t="s">
        <v>50</v>
      </c>
      <c r="E271" s="10" t="s">
        <v>5</v>
      </c>
      <c r="F271" s="10">
        <v>1.0</v>
      </c>
      <c r="G271" s="10">
        <f t="array" ref="G271">IF(OR(D271="",E271=""),"",IFERROR(CHOOSE(MATCH(E271,{"S","M","L","-"},0),VLOOKUP(D271,Menu!$A$2:$F$105,3,0),VLOOKUP(D271,Menu!$A$2:$F$105,4,0),VLOOKUP(D271,Menu!$A$2:$F$105,5,0),VLOOKUP(D271,Menu!$A$2:$F$105,6,0)),"N/A"))</f>
        <v>30</v>
      </c>
      <c r="H271" s="10">
        <f t="shared" si="2"/>
        <v>30</v>
      </c>
      <c r="I271" s="10">
        <f t="shared" si="3"/>
        <v>1965</v>
      </c>
      <c r="J271" s="1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9">
        <v>45206.0</v>
      </c>
      <c r="B272" s="10" t="str">
        <f t="shared" si="1"/>
        <v>Saturday</v>
      </c>
      <c r="C272" s="10" t="str">
        <f>IF(D272="","",VLOOKUP(D272,Menu!$A$2:$B$105,2,0))</f>
        <v>Pizza</v>
      </c>
      <c r="D272" s="10" t="s">
        <v>16</v>
      </c>
      <c r="E272" s="10" t="s">
        <v>3</v>
      </c>
      <c r="F272" s="10">
        <v>1.0</v>
      </c>
      <c r="G272" s="10">
        <f t="array" ref="G272">IF(OR(D272="",E272=""),"",IFERROR(CHOOSE(MATCH(E272,{"S","M","L","-"},0),VLOOKUP(D272,Menu!$A$2:$F$105,3,0),VLOOKUP(D272,Menu!$A$2:$F$105,4,0),VLOOKUP(D272,Menu!$A$2:$F$105,5,0),VLOOKUP(D272,Menu!$A$2:$F$105,6,0)),"N/A"))</f>
        <v>199</v>
      </c>
      <c r="H272" s="10">
        <f t="shared" si="2"/>
        <v>199</v>
      </c>
      <c r="I272" s="10">
        <f t="shared" si="3"/>
        <v>1965</v>
      </c>
      <c r="J272" s="1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9">
        <v>45206.0</v>
      </c>
      <c r="B273" s="10" t="str">
        <f t="shared" si="1"/>
        <v>Saturday</v>
      </c>
      <c r="C273" s="10" t="str">
        <f>IF(D273="","",VLOOKUP(D273,Menu!$A$2:$B$105,2,0))</f>
        <v>Dessert</v>
      </c>
      <c r="D273" s="10" t="s">
        <v>53</v>
      </c>
      <c r="E273" s="10" t="s">
        <v>5</v>
      </c>
      <c r="F273" s="10">
        <v>2.0</v>
      </c>
      <c r="G273" s="10">
        <f t="array" ref="G273">IF(OR(D273="",E273=""),"",IFERROR(CHOOSE(MATCH(E273,{"S","M","L","-"},0),VLOOKUP(D273,Menu!$A$2:$F$105,3,0),VLOOKUP(D273,Menu!$A$2:$F$105,4,0),VLOOKUP(D273,Menu!$A$2:$F$105,5,0),VLOOKUP(D273,Menu!$A$2:$F$105,6,0)),"N/A"))</f>
        <v>30</v>
      </c>
      <c r="H273" s="10">
        <f t="shared" si="2"/>
        <v>60</v>
      </c>
      <c r="I273" s="10">
        <f t="shared" si="3"/>
        <v>1965</v>
      </c>
      <c r="J273" s="10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9">
        <v>45206.0</v>
      </c>
      <c r="B274" s="10" t="str">
        <f t="shared" si="1"/>
        <v>Saturday</v>
      </c>
      <c r="C274" s="10" t="str">
        <f>IF(D274="","",VLOOKUP(D274,Menu!$A$2:$B$105,2,0))</f>
        <v>Pizza</v>
      </c>
      <c r="D274" s="10" t="s">
        <v>9</v>
      </c>
      <c r="E274" s="10" t="s">
        <v>3</v>
      </c>
      <c r="F274" s="10">
        <v>1.0</v>
      </c>
      <c r="G274" s="10">
        <f t="array" ref="G274">IF(OR(D274="",E274=""),"",IFERROR(CHOOSE(MATCH(E274,{"S","M","L","-"},0),VLOOKUP(D274,Menu!$A$2:$F$105,3,0),VLOOKUP(D274,Menu!$A$2:$F$105,4,0),VLOOKUP(D274,Menu!$A$2:$F$105,5,0),VLOOKUP(D274,Menu!$A$2:$F$105,6,0)),"N/A"))</f>
        <v>109</v>
      </c>
      <c r="H274" s="10">
        <f t="shared" si="2"/>
        <v>109</v>
      </c>
      <c r="I274" s="10">
        <f t="shared" si="3"/>
        <v>1965</v>
      </c>
      <c r="J274" s="10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9">
        <v>45206.0</v>
      </c>
      <c r="B275" s="10" t="str">
        <f t="shared" si="1"/>
        <v>Saturday</v>
      </c>
      <c r="C275" s="10" t="str">
        <f>IF(D275="","",VLOOKUP(D275,Menu!$A$2:$B$105,2,0))</f>
        <v>Pizza</v>
      </c>
      <c r="D275" s="10" t="s">
        <v>21</v>
      </c>
      <c r="E275" s="10" t="s">
        <v>2</v>
      </c>
      <c r="F275" s="10">
        <v>1.0</v>
      </c>
      <c r="G275" s="10">
        <f t="array" ref="G275">IF(OR(D275="",E275=""),"",IFERROR(CHOOSE(MATCH(E275,{"S","M","L","-"},0),VLOOKUP(D275,Menu!$A$2:$F$105,3,0),VLOOKUP(D275,Menu!$A$2:$F$105,4,0),VLOOKUP(D275,Menu!$A$2:$F$105,5,0),VLOOKUP(D275,Menu!$A$2:$F$105,6,0)),"N/A"))</f>
        <v>119</v>
      </c>
      <c r="H275" s="10">
        <f t="shared" si="2"/>
        <v>119</v>
      </c>
      <c r="I275" s="10">
        <f t="shared" si="3"/>
        <v>1965</v>
      </c>
      <c r="J275" s="1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9">
        <v>45206.0</v>
      </c>
      <c r="B276" s="10" t="str">
        <f t="shared" si="1"/>
        <v>Saturday</v>
      </c>
      <c r="C276" s="10" t="str">
        <f>IF(D276="","",VLOOKUP(D276,Menu!$A$2:$B$105,2,0))</f>
        <v>Pizza</v>
      </c>
      <c r="D276" s="10" t="s">
        <v>13</v>
      </c>
      <c r="E276" s="10" t="s">
        <v>2</v>
      </c>
      <c r="F276" s="10">
        <v>3.0</v>
      </c>
      <c r="G276" s="10">
        <f t="array" ref="G276">IF(OR(D276="",E276=""),"",IFERROR(CHOOSE(MATCH(E276,{"S","M","L","-"},0),VLOOKUP(D276,Menu!$A$2:$F$105,3,0),VLOOKUP(D276,Menu!$A$2:$F$105,4,0),VLOOKUP(D276,Menu!$A$2:$F$105,5,0),VLOOKUP(D276,Menu!$A$2:$F$105,6,0)),"N/A"))</f>
        <v>79</v>
      </c>
      <c r="H276" s="10">
        <f t="shared" si="2"/>
        <v>237</v>
      </c>
      <c r="I276" s="10">
        <f t="shared" si="3"/>
        <v>1965</v>
      </c>
      <c r="J276" s="1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9">
        <v>45206.0</v>
      </c>
      <c r="B277" s="10" t="str">
        <f t="shared" si="1"/>
        <v>Saturday</v>
      </c>
      <c r="C277" s="10" t="str">
        <f>IF(D277="","",VLOOKUP(D277,Menu!$A$2:$B$105,2,0))</f>
        <v>Beverage</v>
      </c>
      <c r="D277" s="10" t="s">
        <v>63</v>
      </c>
      <c r="E277" s="10" t="s">
        <v>5</v>
      </c>
      <c r="F277" s="10">
        <v>5.0</v>
      </c>
      <c r="G277" s="10">
        <f t="array" ref="G277">IF(OR(D277="",E277=""),"",IFERROR(CHOOSE(MATCH(E277,{"S","M","L","-"},0),VLOOKUP(D277,Menu!$A$2:$F$105,3,0),VLOOKUP(D277,Menu!$A$2:$F$105,4,0),VLOOKUP(D277,Menu!$A$2:$F$105,5,0),VLOOKUP(D277,Menu!$A$2:$F$105,6,0)),"N/A"))</f>
        <v>20</v>
      </c>
      <c r="H277" s="10">
        <f t="shared" si="2"/>
        <v>100</v>
      </c>
      <c r="I277" s="10">
        <f t="shared" si="3"/>
        <v>1965</v>
      </c>
      <c r="J277" s="1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9">
        <v>45206.0</v>
      </c>
      <c r="B278" s="10" t="str">
        <f t="shared" si="1"/>
        <v>Saturday</v>
      </c>
      <c r="C278" s="10" t="str">
        <f>IF(D278="","",VLOOKUP(D278,Menu!$A$2:$B$105,2,0))</f>
        <v>Pizza</v>
      </c>
      <c r="D278" s="10" t="s">
        <v>15</v>
      </c>
      <c r="E278" s="10" t="s">
        <v>2</v>
      </c>
      <c r="F278" s="10">
        <v>3.0</v>
      </c>
      <c r="G278" s="10">
        <f t="array" ref="G278">IF(OR(D278="",E278=""),"",IFERROR(CHOOSE(MATCH(E278,{"S","M","L","-"},0),VLOOKUP(D278,Menu!$A$2:$F$105,3,0),VLOOKUP(D278,Menu!$A$2:$F$105,4,0),VLOOKUP(D278,Menu!$A$2:$F$105,5,0),VLOOKUP(D278,Menu!$A$2:$F$105,6,0)),"N/A"))</f>
        <v>99</v>
      </c>
      <c r="H278" s="10">
        <f t="shared" si="2"/>
        <v>297</v>
      </c>
      <c r="I278" s="10">
        <f t="shared" si="3"/>
        <v>1965</v>
      </c>
      <c r="J278" s="1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9">
        <v>45206.0</v>
      </c>
      <c r="B279" s="10" t="str">
        <f t="shared" si="1"/>
        <v>Saturday</v>
      </c>
      <c r="C279" s="10" t="str">
        <f>IF(D279="","",VLOOKUP(D279,Menu!$A$2:$B$105,2,0))</f>
        <v>Pizza</v>
      </c>
      <c r="D279" s="10" t="s">
        <v>21</v>
      </c>
      <c r="E279" s="10" t="s">
        <v>4</v>
      </c>
      <c r="F279" s="10">
        <v>1.0</v>
      </c>
      <c r="G279" s="10">
        <f t="array" ref="G279">IF(OR(D279="",E279=""),"",IFERROR(CHOOSE(MATCH(E279,{"S","M","L","-"},0),VLOOKUP(D279,Menu!$A$2:$F$105,3,0),VLOOKUP(D279,Menu!$A$2:$F$105,4,0),VLOOKUP(D279,Menu!$A$2:$F$105,5,0),VLOOKUP(D279,Menu!$A$2:$F$105,6,0)),"N/A"))</f>
        <v>299</v>
      </c>
      <c r="H279" s="10">
        <f t="shared" si="2"/>
        <v>299</v>
      </c>
      <c r="I279" s="10">
        <f t="shared" si="3"/>
        <v>1965</v>
      </c>
      <c r="J279" s="10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2">
        <v>45207.0</v>
      </c>
      <c r="B280" s="13" t="str">
        <f t="shared" si="1"/>
        <v>Sunday</v>
      </c>
      <c r="C280" s="13" t="str">
        <f>IF(D280="","",VLOOKUP(D280,Menu!$A$2:$B$105,2,0))</f>
        <v>Burger</v>
      </c>
      <c r="D280" s="13" t="s">
        <v>27</v>
      </c>
      <c r="E280" s="13" t="s">
        <v>5</v>
      </c>
      <c r="F280" s="13">
        <v>4.0</v>
      </c>
      <c r="G280" s="13">
        <f t="array" ref="G280">IF(OR(D280="",E280=""),"",IFERROR(CHOOSE(MATCH(E280,{"S","M","L","-"},0),VLOOKUP(D280,Menu!$A$2:$F$105,3,0),VLOOKUP(D280,Menu!$A$2:$F$105,4,0),VLOOKUP(D280,Menu!$A$2:$F$105,5,0),VLOOKUP(D280,Menu!$A$2:$F$105,6,0)),"N/A"))</f>
        <v>39</v>
      </c>
      <c r="H280" s="13">
        <f t="shared" si="2"/>
        <v>156</v>
      </c>
      <c r="I280" s="13">
        <f t="shared" si="3"/>
        <v>999</v>
      </c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2">
        <v>45207.0</v>
      </c>
      <c r="B281" s="13" t="str">
        <f t="shared" si="1"/>
        <v>Sunday</v>
      </c>
      <c r="C281" s="13" t="str">
        <f>IF(D281="","",VLOOKUP(D281,Menu!$A$2:$B$105,2,0))</f>
        <v>Beverage</v>
      </c>
      <c r="D281" s="13" t="s">
        <v>63</v>
      </c>
      <c r="E281" s="13" t="s">
        <v>5</v>
      </c>
      <c r="F281" s="13">
        <v>9.0</v>
      </c>
      <c r="G281" s="13">
        <f t="array" ref="G281">IF(OR(D281="",E281=""),"",IFERROR(CHOOSE(MATCH(E281,{"S","M","L","-"},0),VLOOKUP(D281,Menu!$A$2:$F$105,3,0),VLOOKUP(D281,Menu!$A$2:$F$105,4,0),VLOOKUP(D281,Menu!$A$2:$F$105,5,0),VLOOKUP(D281,Menu!$A$2:$F$105,6,0)),"N/A"))</f>
        <v>20</v>
      </c>
      <c r="H281" s="13">
        <f t="shared" si="2"/>
        <v>180</v>
      </c>
      <c r="I281" s="13">
        <f t="shared" si="3"/>
        <v>999</v>
      </c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2">
        <v>45207.0</v>
      </c>
      <c r="B282" s="13" t="str">
        <f t="shared" si="1"/>
        <v>Sunday</v>
      </c>
      <c r="C282" s="13" t="str">
        <f>IF(D282="","",VLOOKUP(D282,Menu!$A$2:$B$105,2,0))</f>
        <v>Pizza</v>
      </c>
      <c r="D282" s="13" t="s">
        <v>6</v>
      </c>
      <c r="E282" s="13" t="s">
        <v>2</v>
      </c>
      <c r="F282" s="13">
        <v>3.0</v>
      </c>
      <c r="G282" s="13">
        <f t="array" ref="G282">IF(OR(D282="",E282=""),"",IFERROR(CHOOSE(MATCH(E282,{"S","M","L","-"},0),VLOOKUP(D282,Menu!$A$2:$F$105,3,0),VLOOKUP(D282,Menu!$A$2:$F$105,4,0),VLOOKUP(D282,Menu!$A$2:$F$105,5,0),VLOOKUP(D282,Menu!$A$2:$F$105,6,0)),"N/A"))</f>
        <v>49</v>
      </c>
      <c r="H282" s="13">
        <f t="shared" si="2"/>
        <v>147</v>
      </c>
      <c r="I282" s="13">
        <f t="shared" si="3"/>
        <v>999</v>
      </c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2">
        <v>45207.0</v>
      </c>
      <c r="B283" s="13" t="str">
        <f t="shared" si="1"/>
        <v>Sunday</v>
      </c>
      <c r="C283" s="13" t="str">
        <f>IF(D283="","",VLOOKUP(D283,Menu!$A$2:$B$105,2,0))</f>
        <v>Pizza</v>
      </c>
      <c r="D283" s="13" t="s">
        <v>9</v>
      </c>
      <c r="E283" s="13" t="s">
        <v>2</v>
      </c>
      <c r="F283" s="13">
        <v>2.0</v>
      </c>
      <c r="G283" s="13">
        <f t="array" ref="G283">IF(OR(D283="",E283=""),"",IFERROR(CHOOSE(MATCH(E283,{"S","M","L","-"},0),VLOOKUP(D283,Menu!$A$2:$F$105,3,0),VLOOKUP(D283,Menu!$A$2:$F$105,4,0),VLOOKUP(D283,Menu!$A$2:$F$105,5,0),VLOOKUP(D283,Menu!$A$2:$F$105,6,0)),"N/A"))</f>
        <v>59</v>
      </c>
      <c r="H283" s="13">
        <f t="shared" si="2"/>
        <v>118</v>
      </c>
      <c r="I283" s="13">
        <f t="shared" si="3"/>
        <v>999</v>
      </c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2">
        <v>45207.0</v>
      </c>
      <c r="B284" s="13" t="str">
        <f t="shared" si="1"/>
        <v>Sunday</v>
      </c>
      <c r="C284" s="13" t="str">
        <f>IF(D284="","",VLOOKUP(D284,Menu!$A$2:$B$105,2,0))</f>
        <v>Pizza</v>
      </c>
      <c r="D284" s="13" t="s">
        <v>15</v>
      </c>
      <c r="E284" s="13" t="s">
        <v>4</v>
      </c>
      <c r="F284" s="13">
        <v>1.0</v>
      </c>
      <c r="G284" s="13">
        <f t="array" ref="G284">IF(OR(D284="",E284=""),"",IFERROR(CHOOSE(MATCH(E284,{"S","M","L","-"},0),VLOOKUP(D284,Menu!$A$2:$F$105,3,0),VLOOKUP(D284,Menu!$A$2:$F$105,4,0),VLOOKUP(D284,Menu!$A$2:$F$105,5,0),VLOOKUP(D284,Menu!$A$2:$F$105,6,0)),"N/A"))</f>
        <v>249</v>
      </c>
      <c r="H284" s="13">
        <f t="shared" si="2"/>
        <v>249</v>
      </c>
      <c r="I284" s="13">
        <f t="shared" si="3"/>
        <v>999</v>
      </c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2">
        <v>45207.0</v>
      </c>
      <c r="B285" s="13" t="str">
        <f t="shared" si="1"/>
        <v>Sunday</v>
      </c>
      <c r="C285" s="13" t="str">
        <f>IF(D285="","",VLOOKUP(D285,Menu!$A$2:$B$105,2,0))</f>
        <v>Shake</v>
      </c>
      <c r="D285" s="13" t="s">
        <v>43</v>
      </c>
      <c r="E285" s="13" t="s">
        <v>5</v>
      </c>
      <c r="F285" s="13">
        <v>1.0</v>
      </c>
      <c r="G285" s="13">
        <f t="array" ref="G285">IF(OR(D285="",E285=""),"",IFERROR(CHOOSE(MATCH(E285,{"S","M","L","-"},0),VLOOKUP(D285,Menu!$A$2:$F$105,3,0),VLOOKUP(D285,Menu!$A$2:$F$105,4,0),VLOOKUP(D285,Menu!$A$2:$F$105,5,0),VLOOKUP(D285,Menu!$A$2:$F$105,6,0)),"N/A"))</f>
        <v>50</v>
      </c>
      <c r="H285" s="13">
        <f t="shared" si="2"/>
        <v>50</v>
      </c>
      <c r="I285" s="13">
        <f t="shared" si="3"/>
        <v>999</v>
      </c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2">
        <v>45207.0</v>
      </c>
      <c r="B286" s="13" t="str">
        <f t="shared" si="1"/>
        <v>Sunday</v>
      </c>
      <c r="C286" s="13" t="str">
        <f>IF(D286="","",VLOOKUP(D286,Menu!$A$2:$B$105,2,0))</f>
        <v>Pizza</v>
      </c>
      <c r="D286" s="13" t="s">
        <v>26</v>
      </c>
      <c r="E286" s="13" t="s">
        <v>5</v>
      </c>
      <c r="F286" s="13">
        <v>1.0</v>
      </c>
      <c r="G286" s="13">
        <f t="array" ref="G286">IF(OR(D286="",E286=""),"",IFERROR(CHOOSE(MATCH(E286,{"S","M","L","-"},0),VLOOKUP(D286,Menu!$A$2:$F$105,3,0),VLOOKUP(D286,Menu!$A$2:$F$105,4,0),VLOOKUP(D286,Menu!$A$2:$F$105,5,0),VLOOKUP(D286,Menu!$A$2:$F$105,6,0)),"N/A"))</f>
        <v>99</v>
      </c>
      <c r="H286" s="13">
        <f t="shared" si="2"/>
        <v>99</v>
      </c>
      <c r="I286" s="13">
        <f t="shared" si="3"/>
        <v>999</v>
      </c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9">
        <v>45208.0</v>
      </c>
      <c r="B287" s="10" t="str">
        <f t="shared" si="1"/>
        <v>Monday</v>
      </c>
      <c r="C287" s="10" t="str">
        <f>IF(D287="","",VLOOKUP(D287,Menu!$A$2:$B$105,2,0))</f>
        <v>Shake</v>
      </c>
      <c r="D287" s="10" t="s">
        <v>45</v>
      </c>
      <c r="E287" s="10" t="s">
        <v>5</v>
      </c>
      <c r="F287" s="10">
        <v>1.0</v>
      </c>
      <c r="G287" s="10">
        <f t="array" ref="G287">IF(OR(D287="",E287=""),"",IFERROR(CHOOSE(MATCH(E287,{"S","M","L","-"},0),VLOOKUP(D287,Menu!$A$2:$F$105,3,0),VLOOKUP(D287,Menu!$A$2:$F$105,4,0),VLOOKUP(D287,Menu!$A$2:$F$105,5,0),VLOOKUP(D287,Menu!$A$2:$F$105,6,0)),"N/A"))</f>
        <v>50</v>
      </c>
      <c r="H287" s="10">
        <f t="shared" si="2"/>
        <v>50</v>
      </c>
      <c r="I287" s="10">
        <f t="shared" si="3"/>
        <v>1696</v>
      </c>
      <c r="J287" s="1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9">
        <v>45208.0</v>
      </c>
      <c r="B288" s="10" t="str">
        <f t="shared" si="1"/>
        <v>Monday</v>
      </c>
      <c r="C288" s="10" t="str">
        <f>IF(D288="","",VLOOKUP(D288,Menu!$A$2:$B$105,2,0))</f>
        <v>Pizza</v>
      </c>
      <c r="D288" s="10" t="s">
        <v>14</v>
      </c>
      <c r="E288" s="10" t="s">
        <v>2</v>
      </c>
      <c r="F288" s="10">
        <v>7.0</v>
      </c>
      <c r="G288" s="10">
        <f t="array" ref="G288">IF(OR(D288="",E288=""),"",IFERROR(CHOOSE(MATCH(E288,{"S","M","L","-"},0),VLOOKUP(D288,Menu!$A$2:$F$105,3,0),VLOOKUP(D288,Menu!$A$2:$F$105,4,0),VLOOKUP(D288,Menu!$A$2:$F$105,5,0),VLOOKUP(D288,Menu!$A$2:$F$105,6,0)),"N/A"))</f>
        <v>79</v>
      </c>
      <c r="H288" s="10">
        <f t="shared" si="2"/>
        <v>553</v>
      </c>
      <c r="I288" s="10">
        <f t="shared" si="3"/>
        <v>1696</v>
      </c>
      <c r="J288" s="1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9">
        <v>45208.0</v>
      </c>
      <c r="B289" s="10" t="str">
        <f t="shared" si="1"/>
        <v>Monday</v>
      </c>
      <c r="C289" s="10" t="str">
        <f>IF(D289="","",VLOOKUP(D289,Menu!$A$2:$B$105,2,0))</f>
        <v>Pizza</v>
      </c>
      <c r="D289" s="10" t="s">
        <v>11</v>
      </c>
      <c r="E289" s="10" t="s">
        <v>3</v>
      </c>
      <c r="F289" s="10">
        <v>2.0</v>
      </c>
      <c r="G289" s="10">
        <f t="array" ref="G289">IF(OR(D289="",E289=""),"",IFERROR(CHOOSE(MATCH(E289,{"S","M","L","-"},0),VLOOKUP(D289,Menu!$A$2:$F$105,3,0),VLOOKUP(D289,Menu!$A$2:$F$105,4,0),VLOOKUP(D289,Menu!$A$2:$F$105,5,0),VLOOKUP(D289,Menu!$A$2:$F$105,6,0)),"N/A"))</f>
        <v>109</v>
      </c>
      <c r="H289" s="10">
        <f t="shared" si="2"/>
        <v>218</v>
      </c>
      <c r="I289" s="10">
        <f t="shared" si="3"/>
        <v>1696</v>
      </c>
      <c r="J289" s="1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9">
        <v>45208.0</v>
      </c>
      <c r="B290" s="10" t="str">
        <f t="shared" si="1"/>
        <v>Monday</v>
      </c>
      <c r="C290" s="10" t="str">
        <f>IF(D290="","",VLOOKUP(D290,Menu!$A$2:$B$105,2,0))</f>
        <v>Pizza</v>
      </c>
      <c r="D290" s="10" t="s">
        <v>23</v>
      </c>
      <c r="E290" s="10" t="s">
        <v>3</v>
      </c>
      <c r="F290" s="10">
        <v>1.0</v>
      </c>
      <c r="G290" s="10">
        <f t="array" ref="G290">IF(OR(D290="",E290=""),"",IFERROR(CHOOSE(MATCH(E290,{"S","M","L","-"},0),VLOOKUP(D290,Menu!$A$2:$F$105,3,0),VLOOKUP(D290,Menu!$A$2:$F$105,4,0),VLOOKUP(D290,Menu!$A$2:$F$105,5,0),VLOOKUP(D290,Menu!$A$2:$F$105,6,0)),"N/A"))</f>
        <v>230</v>
      </c>
      <c r="H290" s="10">
        <f t="shared" si="2"/>
        <v>230</v>
      </c>
      <c r="I290" s="10">
        <f t="shared" si="3"/>
        <v>1696</v>
      </c>
      <c r="J290" s="1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9">
        <v>45208.0</v>
      </c>
      <c r="B291" s="10" t="str">
        <f t="shared" si="1"/>
        <v>Monday</v>
      </c>
      <c r="C291" s="10" t="str">
        <f>IF(D291="","",VLOOKUP(D291,Menu!$A$2:$B$105,2,0))</f>
        <v>Shake</v>
      </c>
      <c r="D291" s="10" t="s">
        <v>38</v>
      </c>
      <c r="E291" s="10" t="s">
        <v>5</v>
      </c>
      <c r="F291" s="10">
        <v>2.0</v>
      </c>
      <c r="G291" s="10">
        <f t="array" ref="G291">IF(OR(D291="",E291=""),"",IFERROR(CHOOSE(MATCH(E291,{"S","M","L","-"},0),VLOOKUP(D291,Menu!$A$2:$F$105,3,0),VLOOKUP(D291,Menu!$A$2:$F$105,4,0),VLOOKUP(D291,Menu!$A$2:$F$105,5,0),VLOOKUP(D291,Menu!$A$2:$F$105,6,0)),"N/A"))</f>
        <v>70</v>
      </c>
      <c r="H291" s="10">
        <f t="shared" si="2"/>
        <v>140</v>
      </c>
      <c r="I291" s="10">
        <f t="shared" si="3"/>
        <v>1696</v>
      </c>
      <c r="J291" s="1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9">
        <v>45208.0</v>
      </c>
      <c r="B292" s="10" t="str">
        <f t="shared" si="1"/>
        <v>Monday</v>
      </c>
      <c r="C292" s="10" t="str">
        <f>IF(D292="","",VLOOKUP(D292,Menu!$A$2:$B$105,2,0))</f>
        <v>Burger</v>
      </c>
      <c r="D292" s="10" t="s">
        <v>29</v>
      </c>
      <c r="E292" s="10" t="s">
        <v>5</v>
      </c>
      <c r="F292" s="10">
        <v>4.0</v>
      </c>
      <c r="G292" s="10">
        <f t="array" ref="G292">IF(OR(D292="",E292=""),"",IFERROR(CHOOSE(MATCH(E292,{"S","M","L","-"},0),VLOOKUP(D292,Menu!$A$2:$F$105,3,0),VLOOKUP(D292,Menu!$A$2:$F$105,4,0),VLOOKUP(D292,Menu!$A$2:$F$105,5,0),VLOOKUP(D292,Menu!$A$2:$F$105,6,0)),"N/A"))</f>
        <v>59</v>
      </c>
      <c r="H292" s="10">
        <f t="shared" si="2"/>
        <v>236</v>
      </c>
      <c r="I292" s="10">
        <f t="shared" si="3"/>
        <v>1696</v>
      </c>
      <c r="J292" s="1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9">
        <v>45208.0</v>
      </c>
      <c r="B293" s="10" t="str">
        <f t="shared" si="1"/>
        <v>Monday</v>
      </c>
      <c r="C293" s="10" t="str">
        <f>IF(D293="","",VLOOKUP(D293,Menu!$A$2:$B$105,2,0))</f>
        <v>Pizza</v>
      </c>
      <c r="D293" s="10" t="s">
        <v>15</v>
      </c>
      <c r="E293" s="10" t="s">
        <v>4</v>
      </c>
      <c r="F293" s="10">
        <v>1.0</v>
      </c>
      <c r="G293" s="10">
        <f t="array" ref="G293">IF(OR(D293="",E293=""),"",IFERROR(CHOOSE(MATCH(E293,{"S","M","L","-"},0),VLOOKUP(D293,Menu!$A$2:$F$105,3,0),VLOOKUP(D293,Menu!$A$2:$F$105,4,0),VLOOKUP(D293,Menu!$A$2:$F$105,5,0),VLOOKUP(D293,Menu!$A$2:$F$105,6,0)),"N/A"))</f>
        <v>249</v>
      </c>
      <c r="H293" s="10">
        <f t="shared" si="2"/>
        <v>249</v>
      </c>
      <c r="I293" s="10">
        <f t="shared" si="3"/>
        <v>1696</v>
      </c>
      <c r="J293" s="1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9">
        <v>45208.0</v>
      </c>
      <c r="B294" s="10" t="str">
        <f t="shared" si="1"/>
        <v>Monday</v>
      </c>
      <c r="C294" s="10" t="str">
        <f>IF(D294="","",VLOOKUP(D294,Menu!$A$2:$B$105,2,0))</f>
        <v>Beverage</v>
      </c>
      <c r="D294" s="10" t="s">
        <v>63</v>
      </c>
      <c r="E294" s="10" t="s">
        <v>5</v>
      </c>
      <c r="F294" s="10">
        <v>1.0</v>
      </c>
      <c r="G294" s="10">
        <f t="array" ref="G294">IF(OR(D294="",E294=""),"",IFERROR(CHOOSE(MATCH(E294,{"S","M","L","-"},0),VLOOKUP(D294,Menu!$A$2:$F$105,3,0),VLOOKUP(D294,Menu!$A$2:$F$105,4,0),VLOOKUP(D294,Menu!$A$2:$F$105,5,0),VLOOKUP(D294,Menu!$A$2:$F$105,6,0)),"N/A"))</f>
        <v>20</v>
      </c>
      <c r="H294" s="10">
        <f t="shared" si="2"/>
        <v>20</v>
      </c>
      <c r="I294" s="10">
        <f t="shared" si="3"/>
        <v>1696</v>
      </c>
      <c r="J294" s="1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2">
        <v>45209.0</v>
      </c>
      <c r="B295" s="13" t="str">
        <f t="shared" si="1"/>
        <v>Tuesday</v>
      </c>
      <c r="C295" s="13" t="str">
        <f>IF(D295="","",VLOOKUP(D295,Menu!$A$2:$B$105,2,0))</f>
        <v>Pizza</v>
      </c>
      <c r="D295" s="13" t="s">
        <v>8</v>
      </c>
      <c r="E295" s="13" t="s">
        <v>3</v>
      </c>
      <c r="F295" s="13">
        <v>1.0</v>
      </c>
      <c r="G295" s="13">
        <f t="array" ref="G295">IF(OR(D295="",E295=""),"",IFERROR(CHOOSE(MATCH(E295,{"S","M","L","-"},0),VLOOKUP(D295,Menu!$A$2:$F$105,3,0),VLOOKUP(D295,Menu!$A$2:$F$105,4,0),VLOOKUP(D295,Menu!$A$2:$F$105,5,0),VLOOKUP(D295,Menu!$A$2:$F$105,6,0)),"N/A"))</f>
        <v>109</v>
      </c>
      <c r="H295" s="13">
        <f t="shared" si="2"/>
        <v>109</v>
      </c>
      <c r="I295" s="13">
        <f t="shared" si="3"/>
        <v>530</v>
      </c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2">
        <v>45209.0</v>
      </c>
      <c r="B296" s="13" t="str">
        <f t="shared" si="1"/>
        <v>Tuesday</v>
      </c>
      <c r="C296" s="13" t="str">
        <f>IF(D296="","",VLOOKUP(D296,Menu!$A$2:$B$105,2,0))</f>
        <v>Pizza</v>
      </c>
      <c r="D296" s="13" t="s">
        <v>10</v>
      </c>
      <c r="E296" s="13" t="s">
        <v>3</v>
      </c>
      <c r="F296" s="13">
        <v>1.0</v>
      </c>
      <c r="G296" s="13">
        <f t="array" ref="G296">IF(OR(D296="",E296=""),"",IFERROR(CHOOSE(MATCH(E296,{"S","M","L","-"},0),VLOOKUP(D296,Menu!$A$2:$F$105,3,0),VLOOKUP(D296,Menu!$A$2:$F$105,4,0),VLOOKUP(D296,Menu!$A$2:$F$105,5,0),VLOOKUP(D296,Menu!$A$2:$F$105,6,0)),"N/A"))</f>
        <v>109</v>
      </c>
      <c r="H296" s="13">
        <f t="shared" si="2"/>
        <v>109</v>
      </c>
      <c r="I296" s="13">
        <f t="shared" si="3"/>
        <v>530</v>
      </c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2">
        <v>45209.0</v>
      </c>
      <c r="B297" s="13" t="str">
        <f t="shared" si="1"/>
        <v>Tuesday</v>
      </c>
      <c r="C297" s="13" t="str">
        <f>IF(D297="","",VLOOKUP(D297,Menu!$A$2:$B$105,2,0))</f>
        <v>Pizza</v>
      </c>
      <c r="D297" s="13" t="s">
        <v>15</v>
      </c>
      <c r="E297" s="13" t="s">
        <v>2</v>
      </c>
      <c r="F297" s="13">
        <v>2.0</v>
      </c>
      <c r="G297" s="13">
        <f t="array" ref="G297">IF(OR(D297="",E297=""),"",IFERROR(CHOOSE(MATCH(E297,{"S","M","L","-"},0),VLOOKUP(D297,Menu!$A$2:$F$105,3,0),VLOOKUP(D297,Menu!$A$2:$F$105,4,0),VLOOKUP(D297,Menu!$A$2:$F$105,5,0),VLOOKUP(D297,Menu!$A$2:$F$105,6,0)),"N/A"))</f>
        <v>99</v>
      </c>
      <c r="H297" s="13">
        <f t="shared" si="2"/>
        <v>198</v>
      </c>
      <c r="I297" s="13">
        <f t="shared" si="3"/>
        <v>530</v>
      </c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2">
        <v>45209.0</v>
      </c>
      <c r="B298" s="13" t="str">
        <f t="shared" si="1"/>
        <v>Tuesday</v>
      </c>
      <c r="C298" s="13" t="str">
        <f>IF(D298="","",VLOOKUP(D298,Menu!$A$2:$B$105,2,0))</f>
        <v>Pizza</v>
      </c>
      <c r="D298" s="13" t="s">
        <v>16</v>
      </c>
      <c r="E298" s="13" t="s">
        <v>2</v>
      </c>
      <c r="F298" s="13">
        <v>1.0</v>
      </c>
      <c r="G298" s="13">
        <f t="array" ref="G298">IF(OR(D298="",E298=""),"",IFERROR(CHOOSE(MATCH(E298,{"S","M","L","-"},0),VLOOKUP(D298,Menu!$A$2:$F$105,3,0),VLOOKUP(D298,Menu!$A$2:$F$105,4,0),VLOOKUP(D298,Menu!$A$2:$F$105,5,0),VLOOKUP(D298,Menu!$A$2:$F$105,6,0)),"N/A"))</f>
        <v>109</v>
      </c>
      <c r="H298" s="13">
        <f t="shared" si="2"/>
        <v>109</v>
      </c>
      <c r="I298" s="13">
        <f t="shared" si="3"/>
        <v>530</v>
      </c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2">
        <v>45209.0</v>
      </c>
      <c r="B299" s="13" t="str">
        <f t="shared" si="1"/>
        <v>Tuesday</v>
      </c>
      <c r="C299" s="13" t="str">
        <f>IF(D299="","",VLOOKUP(D299,Menu!$A$2:$B$105,2,0))</f>
        <v>Burger</v>
      </c>
      <c r="D299" s="13" t="s">
        <v>66</v>
      </c>
      <c r="E299" s="13" t="s">
        <v>5</v>
      </c>
      <c r="F299" s="13">
        <v>1.0</v>
      </c>
      <c r="G299" s="13">
        <f t="array" ref="G299">IF(OR(D299="",E299=""),"",IFERROR(CHOOSE(MATCH(E299,{"S","M","L","-"},0),VLOOKUP(D299,Menu!$A$2:$F$105,3,0),VLOOKUP(D299,Menu!$A$2:$F$105,4,0),VLOOKUP(D299,Menu!$A$2:$F$105,5,0),VLOOKUP(D299,Menu!$A$2:$F$105,6,0)),"N/A"))</f>
        <v>5</v>
      </c>
      <c r="H299" s="13">
        <f t="shared" si="2"/>
        <v>5</v>
      </c>
      <c r="I299" s="13">
        <f t="shared" si="3"/>
        <v>530</v>
      </c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9">
        <v>45210.0</v>
      </c>
      <c r="B300" s="10" t="str">
        <f t="shared" si="1"/>
        <v>Wednesday</v>
      </c>
      <c r="C300" s="10" t="str">
        <f>IF(D300="","",VLOOKUP(D300,Menu!$A$2:$B$105,2,0))</f>
        <v>Burger</v>
      </c>
      <c r="D300" s="10" t="s">
        <v>29</v>
      </c>
      <c r="E300" s="10" t="s">
        <v>5</v>
      </c>
      <c r="F300" s="10">
        <v>6.0</v>
      </c>
      <c r="G300" s="10">
        <f t="array" ref="G300">IF(OR(D300="",E300=""),"",IFERROR(CHOOSE(MATCH(E300,{"S","M","L","-"},0),VLOOKUP(D300,Menu!$A$2:$F$105,3,0),VLOOKUP(D300,Menu!$A$2:$F$105,4,0),VLOOKUP(D300,Menu!$A$2:$F$105,5,0),VLOOKUP(D300,Menu!$A$2:$F$105,6,0)),"N/A"))</f>
        <v>59</v>
      </c>
      <c r="H300" s="10">
        <f t="shared" si="2"/>
        <v>354</v>
      </c>
      <c r="I300" s="10">
        <f t="shared" si="3"/>
        <v>869</v>
      </c>
      <c r="J300" s="1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9">
        <v>45210.0</v>
      </c>
      <c r="B301" s="10" t="str">
        <f t="shared" si="1"/>
        <v>Wednesday</v>
      </c>
      <c r="C301" s="10" t="str">
        <f>IF(D301="","",VLOOKUP(D301,Menu!$A$2:$B$105,2,0))</f>
        <v>Pizza</v>
      </c>
      <c r="D301" s="10" t="s">
        <v>21</v>
      </c>
      <c r="E301" s="10" t="s">
        <v>2</v>
      </c>
      <c r="F301" s="10">
        <v>1.0</v>
      </c>
      <c r="G301" s="10">
        <f t="array" ref="G301">IF(OR(D301="",E301=""),"",IFERROR(CHOOSE(MATCH(E301,{"S","M","L","-"},0),VLOOKUP(D301,Menu!$A$2:$F$105,3,0),VLOOKUP(D301,Menu!$A$2:$F$105,4,0),VLOOKUP(D301,Menu!$A$2:$F$105,5,0),VLOOKUP(D301,Menu!$A$2:$F$105,6,0)),"N/A"))</f>
        <v>119</v>
      </c>
      <c r="H301" s="10">
        <f t="shared" si="2"/>
        <v>119</v>
      </c>
      <c r="I301" s="10">
        <f t="shared" si="3"/>
        <v>869</v>
      </c>
      <c r="J301" s="1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9">
        <v>45210.0</v>
      </c>
      <c r="B302" s="10" t="str">
        <f t="shared" si="1"/>
        <v>Wednesday</v>
      </c>
      <c r="C302" s="10" t="str">
        <f>IF(D302="","",VLOOKUP(D302,Menu!$A$2:$B$105,2,0))</f>
        <v>Pizza</v>
      </c>
      <c r="D302" s="10" t="s">
        <v>21</v>
      </c>
      <c r="E302" s="10" t="s">
        <v>3</v>
      </c>
      <c r="F302" s="10">
        <v>1.0</v>
      </c>
      <c r="G302" s="10">
        <f t="array" ref="G302">IF(OR(D302="",E302=""),"",IFERROR(CHOOSE(MATCH(E302,{"S","M","L","-"},0),VLOOKUP(D302,Menu!$A$2:$F$105,3,0),VLOOKUP(D302,Menu!$A$2:$F$105,4,0),VLOOKUP(D302,Menu!$A$2:$F$105,5,0),VLOOKUP(D302,Menu!$A$2:$F$105,6,0)),"N/A"))</f>
        <v>209</v>
      </c>
      <c r="H302" s="10">
        <f t="shared" si="2"/>
        <v>209</v>
      </c>
      <c r="I302" s="10">
        <f t="shared" si="3"/>
        <v>869</v>
      </c>
      <c r="J302" s="1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9">
        <v>45210.0</v>
      </c>
      <c r="B303" s="10" t="str">
        <f t="shared" si="1"/>
        <v>Wednesday</v>
      </c>
      <c r="C303" s="10" t="str">
        <f>IF(D303="","",VLOOKUP(D303,Menu!$A$2:$B$105,2,0))</f>
        <v>Pizza</v>
      </c>
      <c r="D303" s="10" t="s">
        <v>11</v>
      </c>
      <c r="E303" s="10" t="s">
        <v>3</v>
      </c>
      <c r="F303" s="10">
        <v>1.0</v>
      </c>
      <c r="G303" s="10">
        <f t="array" ref="G303">IF(OR(D303="",E303=""),"",IFERROR(CHOOSE(MATCH(E303,{"S","M","L","-"},0),VLOOKUP(D303,Menu!$A$2:$F$105,3,0),VLOOKUP(D303,Menu!$A$2:$F$105,4,0),VLOOKUP(D303,Menu!$A$2:$F$105,5,0),VLOOKUP(D303,Menu!$A$2:$F$105,6,0)),"N/A"))</f>
        <v>109</v>
      </c>
      <c r="H303" s="10">
        <f t="shared" si="2"/>
        <v>109</v>
      </c>
      <c r="I303" s="10">
        <f t="shared" si="3"/>
        <v>869</v>
      </c>
      <c r="J303" s="1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9">
        <v>45210.0</v>
      </c>
      <c r="B304" s="10" t="str">
        <f t="shared" si="1"/>
        <v>Wednesday</v>
      </c>
      <c r="C304" s="10" t="str">
        <f>IF(D304="","",VLOOKUP(D304,Menu!$A$2:$B$105,2,0))</f>
        <v>Burger</v>
      </c>
      <c r="D304" s="10" t="s">
        <v>27</v>
      </c>
      <c r="E304" s="10" t="s">
        <v>5</v>
      </c>
      <c r="F304" s="10">
        <v>2.0</v>
      </c>
      <c r="G304" s="10">
        <f t="array" ref="G304">IF(OR(D304="",E304=""),"",IFERROR(CHOOSE(MATCH(E304,{"S","M","L","-"},0),VLOOKUP(D304,Menu!$A$2:$F$105,3,0),VLOOKUP(D304,Menu!$A$2:$F$105,4,0),VLOOKUP(D304,Menu!$A$2:$F$105,5,0),VLOOKUP(D304,Menu!$A$2:$F$105,6,0)),"N/A"))</f>
        <v>39</v>
      </c>
      <c r="H304" s="10">
        <f t="shared" si="2"/>
        <v>78</v>
      </c>
      <c r="I304" s="10">
        <f t="shared" si="3"/>
        <v>869</v>
      </c>
      <c r="J304" s="1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2">
        <v>45211.0</v>
      </c>
      <c r="B305" s="13" t="str">
        <f t="shared" si="1"/>
        <v>Thursday</v>
      </c>
      <c r="C305" s="13" t="str">
        <f>IF(D305="","",VLOOKUP(D305,Menu!$A$2:$B$105,2,0))</f>
        <v>Pizza</v>
      </c>
      <c r="D305" s="13" t="s">
        <v>9</v>
      </c>
      <c r="E305" s="13" t="s">
        <v>2</v>
      </c>
      <c r="F305" s="13">
        <v>1.0</v>
      </c>
      <c r="G305" s="13">
        <f t="array" ref="G305">IF(OR(D305="",E305=""),"",IFERROR(CHOOSE(MATCH(E305,{"S","M","L","-"},0),VLOOKUP(D305,Menu!$A$2:$F$105,3,0),VLOOKUP(D305,Menu!$A$2:$F$105,4,0),VLOOKUP(D305,Menu!$A$2:$F$105,5,0),VLOOKUP(D305,Menu!$A$2:$F$105,6,0)),"N/A"))</f>
        <v>59</v>
      </c>
      <c r="H305" s="13">
        <f t="shared" si="2"/>
        <v>59</v>
      </c>
      <c r="I305" s="13">
        <f t="shared" si="3"/>
        <v>891</v>
      </c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2">
        <v>45211.0</v>
      </c>
      <c r="B306" s="13" t="str">
        <f t="shared" si="1"/>
        <v>Thursday</v>
      </c>
      <c r="C306" s="13" t="str">
        <f>IF(D306="","",VLOOKUP(D306,Menu!$A$2:$B$105,2,0))</f>
        <v>Pizza</v>
      </c>
      <c r="D306" s="13" t="s">
        <v>10</v>
      </c>
      <c r="E306" s="13" t="s">
        <v>2</v>
      </c>
      <c r="F306" s="13">
        <v>1.0</v>
      </c>
      <c r="G306" s="13">
        <f t="array" ref="G306">IF(OR(D306="",E306=""),"",IFERROR(CHOOSE(MATCH(E306,{"S","M","L","-"},0),VLOOKUP(D306,Menu!$A$2:$F$105,3,0),VLOOKUP(D306,Menu!$A$2:$F$105,4,0),VLOOKUP(D306,Menu!$A$2:$F$105,5,0),VLOOKUP(D306,Menu!$A$2:$F$105,6,0)),"N/A"))</f>
        <v>59</v>
      </c>
      <c r="H306" s="13">
        <f t="shared" si="2"/>
        <v>59</v>
      </c>
      <c r="I306" s="13">
        <f t="shared" si="3"/>
        <v>891</v>
      </c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2">
        <v>45211.0</v>
      </c>
      <c r="B307" s="13" t="str">
        <f t="shared" si="1"/>
        <v>Thursday</v>
      </c>
      <c r="C307" s="13" t="str">
        <f>IF(D307="","",VLOOKUP(D307,Menu!$A$2:$B$105,2,0))</f>
        <v>Pizza</v>
      </c>
      <c r="D307" s="13" t="s">
        <v>24</v>
      </c>
      <c r="E307" s="13" t="s">
        <v>4</v>
      </c>
      <c r="F307" s="13">
        <v>1.0</v>
      </c>
      <c r="G307" s="13">
        <f t="array" ref="G307">IF(OR(D307="",E307=""),"",IFERROR(CHOOSE(MATCH(E307,{"S","M","L","-"},0),VLOOKUP(D307,Menu!$A$2:$F$105,3,0),VLOOKUP(D307,Menu!$A$2:$F$105,4,0),VLOOKUP(D307,Menu!$A$2:$F$105,5,0),VLOOKUP(D307,Menu!$A$2:$F$105,6,0)),"N/A"))</f>
        <v>349</v>
      </c>
      <c r="H307" s="13">
        <f t="shared" si="2"/>
        <v>349</v>
      </c>
      <c r="I307" s="13">
        <f t="shared" si="3"/>
        <v>891</v>
      </c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2">
        <v>45211.0</v>
      </c>
      <c r="B308" s="13" t="str">
        <f t="shared" si="1"/>
        <v>Thursday</v>
      </c>
      <c r="C308" s="13" t="str">
        <f>IF(D308="","",VLOOKUP(D308,Menu!$A$2:$B$105,2,0))</f>
        <v>Pizza</v>
      </c>
      <c r="D308" s="13" t="s">
        <v>26</v>
      </c>
      <c r="E308" s="13" t="s">
        <v>5</v>
      </c>
      <c r="F308" s="13">
        <v>1.0</v>
      </c>
      <c r="G308" s="13">
        <f t="array" ref="G308">IF(OR(D308="",E308=""),"",IFERROR(CHOOSE(MATCH(E308,{"S","M","L","-"},0),VLOOKUP(D308,Menu!$A$2:$F$105,3,0),VLOOKUP(D308,Menu!$A$2:$F$105,4,0),VLOOKUP(D308,Menu!$A$2:$F$105,5,0),VLOOKUP(D308,Menu!$A$2:$F$105,6,0)),"N/A"))</f>
        <v>99</v>
      </c>
      <c r="H308" s="13">
        <f t="shared" si="2"/>
        <v>99</v>
      </c>
      <c r="I308" s="13">
        <f t="shared" si="3"/>
        <v>891</v>
      </c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2">
        <v>45211.0</v>
      </c>
      <c r="B309" s="13" t="str">
        <f t="shared" si="1"/>
        <v>Thursday</v>
      </c>
      <c r="C309" s="13" t="str">
        <f>IF(D309="","",VLOOKUP(D309,Menu!$A$2:$B$105,2,0))</f>
        <v>Burger</v>
      </c>
      <c r="D309" s="13" t="s">
        <v>27</v>
      </c>
      <c r="E309" s="13" t="s">
        <v>5</v>
      </c>
      <c r="F309" s="13">
        <v>1.0</v>
      </c>
      <c r="G309" s="13">
        <f t="array" ref="G309">IF(OR(D309="",E309=""),"",IFERROR(CHOOSE(MATCH(E309,{"S","M","L","-"},0),VLOOKUP(D309,Menu!$A$2:$F$105,3,0),VLOOKUP(D309,Menu!$A$2:$F$105,4,0),VLOOKUP(D309,Menu!$A$2:$F$105,5,0),VLOOKUP(D309,Menu!$A$2:$F$105,6,0)),"N/A"))</f>
        <v>39</v>
      </c>
      <c r="H309" s="13">
        <f t="shared" si="2"/>
        <v>39</v>
      </c>
      <c r="I309" s="13">
        <f t="shared" si="3"/>
        <v>891</v>
      </c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2">
        <v>45211.0</v>
      </c>
      <c r="B310" s="13" t="str">
        <f t="shared" si="1"/>
        <v>Thursday</v>
      </c>
      <c r="C310" s="13" t="str">
        <f>IF(D310="","",VLOOKUP(D310,Menu!$A$2:$B$105,2,0))</f>
        <v>Burger</v>
      </c>
      <c r="D310" s="13" t="s">
        <v>29</v>
      </c>
      <c r="E310" s="13" t="s">
        <v>5</v>
      </c>
      <c r="F310" s="13">
        <v>2.0</v>
      </c>
      <c r="G310" s="13">
        <f t="array" ref="G310">IF(OR(D310="",E310=""),"",IFERROR(CHOOSE(MATCH(E310,{"S","M","L","-"},0),VLOOKUP(D310,Menu!$A$2:$F$105,3,0),VLOOKUP(D310,Menu!$A$2:$F$105,4,0),VLOOKUP(D310,Menu!$A$2:$F$105,5,0),VLOOKUP(D310,Menu!$A$2:$F$105,6,0)),"N/A"))</f>
        <v>59</v>
      </c>
      <c r="H310" s="13">
        <f t="shared" si="2"/>
        <v>118</v>
      </c>
      <c r="I310" s="13">
        <f t="shared" si="3"/>
        <v>891</v>
      </c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2">
        <v>45211.0</v>
      </c>
      <c r="B311" s="13" t="str">
        <f t="shared" si="1"/>
        <v>Thursday</v>
      </c>
      <c r="C311" s="13" t="str">
        <f>IF(D311="","",VLOOKUP(D311,Menu!$A$2:$B$105,2,0))</f>
        <v>Pizza</v>
      </c>
      <c r="D311" s="13" t="s">
        <v>11</v>
      </c>
      <c r="E311" s="13" t="s">
        <v>2</v>
      </c>
      <c r="F311" s="13">
        <v>1.0</v>
      </c>
      <c r="G311" s="13">
        <f t="array" ref="G311">IF(OR(D311="",E311=""),"",IFERROR(CHOOSE(MATCH(E311,{"S","M","L","-"},0),VLOOKUP(D311,Menu!$A$2:$F$105,3,0),VLOOKUP(D311,Menu!$A$2:$F$105,4,0),VLOOKUP(D311,Menu!$A$2:$F$105,5,0),VLOOKUP(D311,Menu!$A$2:$F$105,6,0)),"N/A"))</f>
        <v>69</v>
      </c>
      <c r="H311" s="13">
        <f t="shared" si="2"/>
        <v>69</v>
      </c>
      <c r="I311" s="13">
        <f t="shared" si="3"/>
        <v>891</v>
      </c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2">
        <v>45211.0</v>
      </c>
      <c r="B312" s="13" t="str">
        <f t="shared" si="1"/>
        <v>Thursday</v>
      </c>
      <c r="C312" s="13" t="str">
        <f>IF(D312="","",VLOOKUP(D312,Menu!$A$2:$B$105,2,0))</f>
        <v>Pizza</v>
      </c>
      <c r="D312" s="13" t="s">
        <v>15</v>
      </c>
      <c r="E312" s="13" t="s">
        <v>2</v>
      </c>
      <c r="F312" s="13">
        <v>1.0</v>
      </c>
      <c r="G312" s="13">
        <f t="array" ref="G312">IF(OR(D312="",E312=""),"",IFERROR(CHOOSE(MATCH(E312,{"S","M","L","-"},0),VLOOKUP(D312,Menu!$A$2:$F$105,3,0),VLOOKUP(D312,Menu!$A$2:$F$105,4,0),VLOOKUP(D312,Menu!$A$2:$F$105,5,0),VLOOKUP(D312,Menu!$A$2:$F$105,6,0)),"N/A"))</f>
        <v>99</v>
      </c>
      <c r="H312" s="13">
        <f t="shared" si="2"/>
        <v>99</v>
      </c>
      <c r="I312" s="13">
        <f t="shared" si="3"/>
        <v>891</v>
      </c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9">
        <v>45212.0</v>
      </c>
      <c r="B313" s="10" t="str">
        <f t="shared" si="1"/>
        <v>Friday</v>
      </c>
      <c r="C313" s="10" t="str">
        <f>IF(D313="","",VLOOKUP(D313,Menu!$A$2:$B$105,2,0))</f>
        <v>Shake</v>
      </c>
      <c r="D313" s="10" t="s">
        <v>38</v>
      </c>
      <c r="E313" s="10" t="s">
        <v>5</v>
      </c>
      <c r="F313" s="10">
        <v>1.0</v>
      </c>
      <c r="G313" s="10">
        <f t="array" ref="G313">IF(OR(D313="",E313=""),"",IFERROR(CHOOSE(MATCH(E313,{"S","M","L","-"},0),VLOOKUP(D313,Menu!$A$2:$F$105,3,0),VLOOKUP(D313,Menu!$A$2:$F$105,4,0),VLOOKUP(D313,Menu!$A$2:$F$105,5,0),VLOOKUP(D313,Menu!$A$2:$F$105,6,0)),"N/A"))</f>
        <v>70</v>
      </c>
      <c r="H313" s="10">
        <f t="shared" si="2"/>
        <v>70</v>
      </c>
      <c r="I313" s="10">
        <f t="shared" si="3"/>
        <v>406</v>
      </c>
      <c r="J313" s="1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9">
        <v>45212.0</v>
      </c>
      <c r="B314" s="10" t="str">
        <f t="shared" si="1"/>
        <v>Friday</v>
      </c>
      <c r="C314" s="10" t="str">
        <f>IF(D314="","",VLOOKUP(D314,Menu!$A$2:$B$105,2,0))</f>
        <v>Burger</v>
      </c>
      <c r="D314" s="10" t="s">
        <v>27</v>
      </c>
      <c r="E314" s="10" t="s">
        <v>5</v>
      </c>
      <c r="F314" s="10">
        <v>2.0</v>
      </c>
      <c r="G314" s="10">
        <f t="array" ref="G314">IF(OR(D314="",E314=""),"",IFERROR(CHOOSE(MATCH(E314,{"S","M","L","-"},0),VLOOKUP(D314,Menu!$A$2:$F$105,3,0),VLOOKUP(D314,Menu!$A$2:$F$105,4,0),VLOOKUP(D314,Menu!$A$2:$F$105,5,0),VLOOKUP(D314,Menu!$A$2:$F$105,6,0)),"N/A"))</f>
        <v>39</v>
      </c>
      <c r="H314" s="10">
        <f t="shared" si="2"/>
        <v>78</v>
      </c>
      <c r="I314" s="10">
        <f t="shared" si="3"/>
        <v>406</v>
      </c>
      <c r="J314" s="1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9">
        <v>45212.0</v>
      </c>
      <c r="B315" s="10" t="str">
        <f t="shared" si="1"/>
        <v>Friday</v>
      </c>
      <c r="C315" s="10" t="str">
        <f>IF(D315="","",VLOOKUP(D315,Menu!$A$2:$B$105,2,0))</f>
        <v>Pizza</v>
      </c>
      <c r="D315" s="10" t="s">
        <v>15</v>
      </c>
      <c r="E315" s="10" t="s">
        <v>2</v>
      </c>
      <c r="F315" s="10">
        <v>1.0</v>
      </c>
      <c r="G315" s="10">
        <f t="array" ref="G315">IF(OR(D315="",E315=""),"",IFERROR(CHOOSE(MATCH(E315,{"S","M","L","-"},0),VLOOKUP(D315,Menu!$A$2:$F$105,3,0),VLOOKUP(D315,Menu!$A$2:$F$105,4,0),VLOOKUP(D315,Menu!$A$2:$F$105,5,0),VLOOKUP(D315,Menu!$A$2:$F$105,6,0)),"N/A"))</f>
        <v>99</v>
      </c>
      <c r="H315" s="10">
        <f t="shared" si="2"/>
        <v>99</v>
      </c>
      <c r="I315" s="10">
        <f t="shared" si="3"/>
        <v>406</v>
      </c>
      <c r="J315" s="1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9">
        <v>45212.0</v>
      </c>
      <c r="B316" s="10" t="str">
        <f t="shared" si="1"/>
        <v>Friday</v>
      </c>
      <c r="C316" s="10" t="str">
        <f>IF(D316="","",VLOOKUP(D316,Menu!$A$2:$B$105,2,0))</f>
        <v>Pizza</v>
      </c>
      <c r="D316" s="10" t="s">
        <v>15</v>
      </c>
      <c r="E316" s="10" t="s">
        <v>3</v>
      </c>
      <c r="F316" s="10">
        <v>1.0</v>
      </c>
      <c r="G316" s="10">
        <f t="array" ref="G316">IF(OR(D316="",E316=""),"",IFERROR(CHOOSE(MATCH(E316,{"S","M","L","-"},0),VLOOKUP(D316,Menu!$A$2:$F$105,3,0),VLOOKUP(D316,Menu!$A$2:$F$105,4,0),VLOOKUP(D316,Menu!$A$2:$F$105,5,0),VLOOKUP(D316,Menu!$A$2:$F$105,6,0)),"N/A"))</f>
        <v>149</v>
      </c>
      <c r="H316" s="10">
        <f t="shared" si="2"/>
        <v>149</v>
      </c>
      <c r="I316" s="10">
        <f t="shared" si="3"/>
        <v>406</v>
      </c>
      <c r="J316" s="1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9">
        <v>45212.0</v>
      </c>
      <c r="B317" s="10" t="str">
        <f t="shared" si="1"/>
        <v>Friday</v>
      </c>
      <c r="C317" s="10" t="str">
        <f>IF(D317="","",VLOOKUP(D317,Menu!$A$2:$B$105,2,0))</f>
        <v>Burger</v>
      </c>
      <c r="D317" s="10" t="s">
        <v>66</v>
      </c>
      <c r="E317" s="10" t="s">
        <v>5</v>
      </c>
      <c r="F317" s="10">
        <v>2.0</v>
      </c>
      <c r="G317" s="10">
        <f t="array" ref="G317">IF(OR(D317="",E317=""),"",IFERROR(CHOOSE(MATCH(E317,{"S","M","L","-"},0),VLOOKUP(D317,Menu!$A$2:$F$105,3,0),VLOOKUP(D317,Menu!$A$2:$F$105,4,0),VLOOKUP(D317,Menu!$A$2:$F$105,5,0),VLOOKUP(D317,Menu!$A$2:$F$105,6,0)),"N/A"))</f>
        <v>5</v>
      </c>
      <c r="H317" s="10">
        <f t="shared" si="2"/>
        <v>10</v>
      </c>
      <c r="I317" s="10">
        <f t="shared" si="3"/>
        <v>406</v>
      </c>
      <c r="J317" s="1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2">
        <v>45213.0</v>
      </c>
      <c r="B318" s="13" t="str">
        <f t="shared" si="1"/>
        <v>Saturday</v>
      </c>
      <c r="C318" s="13" t="str">
        <f>IF(D318="","",VLOOKUP(D318,Menu!$A$2:$B$105,2,0))</f>
        <v>Pizza</v>
      </c>
      <c r="D318" s="13" t="s">
        <v>16</v>
      </c>
      <c r="E318" s="13" t="s">
        <v>2</v>
      </c>
      <c r="F318" s="13">
        <v>3.0</v>
      </c>
      <c r="G318" s="13">
        <f t="array" ref="G318">IF(OR(D318="",E318=""),"",IFERROR(CHOOSE(MATCH(E318,{"S","M","L","-"},0),VLOOKUP(D318,Menu!$A$2:$F$105,3,0),VLOOKUP(D318,Menu!$A$2:$F$105,4,0),VLOOKUP(D318,Menu!$A$2:$F$105,5,0),VLOOKUP(D318,Menu!$A$2:$F$105,6,0)),"N/A"))</f>
        <v>109</v>
      </c>
      <c r="H318" s="13">
        <f t="shared" si="2"/>
        <v>327</v>
      </c>
      <c r="I318" s="13">
        <f t="shared" si="3"/>
        <v>2100</v>
      </c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2">
        <v>45213.0</v>
      </c>
      <c r="B319" s="13" t="str">
        <f t="shared" si="1"/>
        <v>Saturday</v>
      </c>
      <c r="C319" s="13" t="str">
        <f>IF(D319="","",VLOOKUP(D319,Menu!$A$2:$B$105,2,0))</f>
        <v>Pizza</v>
      </c>
      <c r="D319" s="13" t="s">
        <v>8</v>
      </c>
      <c r="E319" s="13" t="s">
        <v>2</v>
      </c>
      <c r="F319" s="13">
        <v>3.0</v>
      </c>
      <c r="G319" s="13">
        <f t="array" ref="G319">IF(OR(D319="",E319=""),"",IFERROR(CHOOSE(MATCH(E319,{"S","M","L","-"},0),VLOOKUP(D319,Menu!$A$2:$F$105,3,0),VLOOKUP(D319,Menu!$A$2:$F$105,4,0),VLOOKUP(D319,Menu!$A$2:$F$105,5,0),VLOOKUP(D319,Menu!$A$2:$F$105,6,0)),"N/A"))</f>
        <v>59</v>
      </c>
      <c r="H319" s="13">
        <f t="shared" si="2"/>
        <v>177</v>
      </c>
      <c r="I319" s="13">
        <f t="shared" si="3"/>
        <v>2100</v>
      </c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2">
        <v>45213.0</v>
      </c>
      <c r="B320" s="13" t="str">
        <f t="shared" si="1"/>
        <v>Saturday</v>
      </c>
      <c r="C320" s="13" t="str">
        <f>IF(D320="","",VLOOKUP(D320,Menu!$A$2:$B$105,2,0))</f>
        <v>Pizza</v>
      </c>
      <c r="D320" s="13" t="s">
        <v>11</v>
      </c>
      <c r="E320" s="13" t="s">
        <v>2</v>
      </c>
      <c r="F320" s="13">
        <v>1.0</v>
      </c>
      <c r="G320" s="13">
        <f t="array" ref="G320">IF(OR(D320="",E320=""),"",IFERROR(CHOOSE(MATCH(E320,{"S","M","L","-"},0),VLOOKUP(D320,Menu!$A$2:$F$105,3,0),VLOOKUP(D320,Menu!$A$2:$F$105,4,0),VLOOKUP(D320,Menu!$A$2:$F$105,5,0),VLOOKUP(D320,Menu!$A$2:$F$105,6,0)),"N/A"))</f>
        <v>69</v>
      </c>
      <c r="H320" s="13">
        <f t="shared" si="2"/>
        <v>69</v>
      </c>
      <c r="I320" s="13">
        <f t="shared" si="3"/>
        <v>2100</v>
      </c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2">
        <v>45213.0</v>
      </c>
      <c r="B321" s="13" t="str">
        <f t="shared" si="1"/>
        <v>Saturday</v>
      </c>
      <c r="C321" s="13" t="str">
        <f>IF(D321="","",VLOOKUP(D321,Menu!$A$2:$B$105,2,0))</f>
        <v>Pizza</v>
      </c>
      <c r="D321" s="13" t="s">
        <v>6</v>
      </c>
      <c r="E321" s="13" t="s">
        <v>2</v>
      </c>
      <c r="F321" s="13">
        <v>1.0</v>
      </c>
      <c r="G321" s="13">
        <f t="array" ref="G321">IF(OR(D321="",E321=""),"",IFERROR(CHOOSE(MATCH(E321,{"S","M","L","-"},0),VLOOKUP(D321,Menu!$A$2:$F$105,3,0),VLOOKUP(D321,Menu!$A$2:$F$105,4,0),VLOOKUP(D321,Menu!$A$2:$F$105,5,0),VLOOKUP(D321,Menu!$A$2:$F$105,6,0)),"N/A"))</f>
        <v>49</v>
      </c>
      <c r="H321" s="13">
        <f t="shared" si="2"/>
        <v>49</v>
      </c>
      <c r="I321" s="13">
        <f t="shared" si="3"/>
        <v>2100</v>
      </c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2">
        <v>45213.0</v>
      </c>
      <c r="B322" s="13" t="str">
        <f t="shared" si="1"/>
        <v>Saturday</v>
      </c>
      <c r="C322" s="13" t="str">
        <f>IF(D322="","",VLOOKUP(D322,Menu!$A$2:$B$105,2,0))</f>
        <v>Shake</v>
      </c>
      <c r="D322" s="13" t="s">
        <v>38</v>
      </c>
      <c r="E322" s="13" t="s">
        <v>5</v>
      </c>
      <c r="F322" s="13">
        <v>1.0</v>
      </c>
      <c r="G322" s="13">
        <f t="array" ref="G322">IF(OR(D322="",E322=""),"",IFERROR(CHOOSE(MATCH(E322,{"S","M","L","-"},0),VLOOKUP(D322,Menu!$A$2:$F$105,3,0),VLOOKUP(D322,Menu!$A$2:$F$105,4,0),VLOOKUP(D322,Menu!$A$2:$F$105,5,0),VLOOKUP(D322,Menu!$A$2:$F$105,6,0)),"N/A"))</f>
        <v>70</v>
      </c>
      <c r="H322" s="13">
        <f t="shared" si="2"/>
        <v>70</v>
      </c>
      <c r="I322" s="13">
        <f t="shared" si="3"/>
        <v>2100</v>
      </c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2">
        <v>45213.0</v>
      </c>
      <c r="B323" s="13" t="str">
        <f t="shared" si="1"/>
        <v>Saturday</v>
      </c>
      <c r="C323" s="13" t="str">
        <f>IF(D323="","",VLOOKUP(D323,Menu!$A$2:$B$105,2,0))</f>
        <v>Pizza</v>
      </c>
      <c r="D323" s="13" t="s">
        <v>8</v>
      </c>
      <c r="E323" s="13" t="s">
        <v>3</v>
      </c>
      <c r="F323" s="13">
        <v>1.0</v>
      </c>
      <c r="G323" s="13">
        <f t="array" ref="G323">IF(OR(D323="",E323=""),"",IFERROR(CHOOSE(MATCH(E323,{"S","M","L","-"},0),VLOOKUP(D323,Menu!$A$2:$F$105,3,0),VLOOKUP(D323,Menu!$A$2:$F$105,4,0),VLOOKUP(D323,Menu!$A$2:$F$105,5,0),VLOOKUP(D323,Menu!$A$2:$F$105,6,0)),"N/A"))</f>
        <v>109</v>
      </c>
      <c r="H323" s="13">
        <f t="shared" si="2"/>
        <v>109</v>
      </c>
      <c r="I323" s="13">
        <f t="shared" si="3"/>
        <v>2100</v>
      </c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2">
        <v>45213.0</v>
      </c>
      <c r="B324" s="13" t="str">
        <f t="shared" si="1"/>
        <v>Saturday</v>
      </c>
      <c r="C324" s="13" t="str">
        <f>IF(D324="","",VLOOKUP(D324,Menu!$A$2:$B$105,2,0))</f>
        <v>Shake</v>
      </c>
      <c r="D324" s="13" t="s">
        <v>46</v>
      </c>
      <c r="E324" s="13" t="s">
        <v>5</v>
      </c>
      <c r="F324" s="13">
        <v>2.0</v>
      </c>
      <c r="G324" s="13">
        <f t="array" ref="G324">IF(OR(D324="",E324=""),"",IFERROR(CHOOSE(MATCH(E324,{"S","M","L","-"},0),VLOOKUP(D324,Menu!$A$2:$F$105,3,0),VLOOKUP(D324,Menu!$A$2:$F$105,4,0),VLOOKUP(D324,Menu!$A$2:$F$105,5,0),VLOOKUP(D324,Menu!$A$2:$F$105,6,0)),"N/A"))</f>
        <v>50</v>
      </c>
      <c r="H324" s="13">
        <f t="shared" si="2"/>
        <v>100</v>
      </c>
      <c r="I324" s="13">
        <f t="shared" si="3"/>
        <v>2100</v>
      </c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2">
        <v>45213.0</v>
      </c>
      <c r="B325" s="13" t="str">
        <f t="shared" si="1"/>
        <v>Saturday</v>
      </c>
      <c r="C325" s="13" t="str">
        <f>IF(D325="","",VLOOKUP(D325,Menu!$A$2:$B$105,2,0))</f>
        <v>Pizza</v>
      </c>
      <c r="D325" s="13" t="s">
        <v>13</v>
      </c>
      <c r="E325" s="13" t="s">
        <v>2</v>
      </c>
      <c r="F325" s="13">
        <v>4.0</v>
      </c>
      <c r="G325" s="13">
        <f t="array" ref="G325">IF(OR(D325="",E325=""),"",IFERROR(CHOOSE(MATCH(E325,{"S","M","L","-"},0),VLOOKUP(D325,Menu!$A$2:$F$105,3,0),VLOOKUP(D325,Menu!$A$2:$F$105,4,0),VLOOKUP(D325,Menu!$A$2:$F$105,5,0),VLOOKUP(D325,Menu!$A$2:$F$105,6,0)),"N/A"))</f>
        <v>79</v>
      </c>
      <c r="H325" s="13">
        <f t="shared" si="2"/>
        <v>316</v>
      </c>
      <c r="I325" s="13">
        <f t="shared" si="3"/>
        <v>2100</v>
      </c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2">
        <v>45213.0</v>
      </c>
      <c r="B326" s="13" t="str">
        <f t="shared" si="1"/>
        <v>Saturday</v>
      </c>
      <c r="C326" s="13" t="str">
        <f>IF(D326="","",VLOOKUP(D326,Menu!$A$2:$B$105,2,0))</f>
        <v>Pizza</v>
      </c>
      <c r="D326" s="13" t="s">
        <v>19</v>
      </c>
      <c r="E326" s="13" t="s">
        <v>2</v>
      </c>
      <c r="F326" s="13">
        <v>2.0</v>
      </c>
      <c r="G326" s="13">
        <f t="array" ref="G326">IF(OR(D326="",E326=""),"",IFERROR(CHOOSE(MATCH(E326,{"S","M","L","-"},0),VLOOKUP(D326,Menu!$A$2:$F$105,3,0),VLOOKUP(D326,Menu!$A$2:$F$105,4,0),VLOOKUP(D326,Menu!$A$2:$F$105,5,0),VLOOKUP(D326,Menu!$A$2:$F$105,6,0)),"N/A"))</f>
        <v>109</v>
      </c>
      <c r="H326" s="13">
        <f t="shared" si="2"/>
        <v>218</v>
      </c>
      <c r="I326" s="13">
        <f t="shared" si="3"/>
        <v>2100</v>
      </c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2">
        <v>45213.0</v>
      </c>
      <c r="B327" s="13" t="str">
        <f t="shared" si="1"/>
        <v>Saturday</v>
      </c>
      <c r="C327" s="13" t="str">
        <f>IF(D327="","",VLOOKUP(D327,Menu!$A$2:$B$105,2,0))</f>
        <v>Pizza</v>
      </c>
      <c r="D327" s="13" t="s">
        <v>17</v>
      </c>
      <c r="E327" s="13" t="s">
        <v>2</v>
      </c>
      <c r="F327" s="13">
        <v>1.0</v>
      </c>
      <c r="G327" s="13">
        <f t="array" ref="G327">IF(OR(D327="",E327=""),"",IFERROR(CHOOSE(MATCH(E327,{"S","M","L","-"},0),VLOOKUP(D327,Menu!$A$2:$F$105,3,0),VLOOKUP(D327,Menu!$A$2:$F$105,4,0),VLOOKUP(D327,Menu!$A$2:$F$105,5,0),VLOOKUP(D327,Menu!$A$2:$F$105,6,0)),"N/A"))</f>
        <v>109</v>
      </c>
      <c r="H327" s="13">
        <f t="shared" si="2"/>
        <v>109</v>
      </c>
      <c r="I327" s="13">
        <f t="shared" si="3"/>
        <v>2100</v>
      </c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2">
        <v>45213.0</v>
      </c>
      <c r="B328" s="13" t="str">
        <f t="shared" si="1"/>
        <v>Saturday</v>
      </c>
      <c r="C328" s="13" t="str">
        <f>IF(D328="","",VLOOKUP(D328,Menu!$A$2:$B$105,2,0))</f>
        <v>Beverage</v>
      </c>
      <c r="D328" s="13" t="s">
        <v>63</v>
      </c>
      <c r="E328" s="13" t="s">
        <v>5</v>
      </c>
      <c r="F328" s="13">
        <v>2.0</v>
      </c>
      <c r="G328" s="13">
        <f t="array" ref="G328">IF(OR(D328="",E328=""),"",IFERROR(CHOOSE(MATCH(E328,{"S","M","L","-"},0),VLOOKUP(D328,Menu!$A$2:$F$105,3,0),VLOOKUP(D328,Menu!$A$2:$F$105,4,0),VLOOKUP(D328,Menu!$A$2:$F$105,5,0),VLOOKUP(D328,Menu!$A$2:$F$105,6,0)),"N/A"))</f>
        <v>20</v>
      </c>
      <c r="H328" s="13">
        <f t="shared" si="2"/>
        <v>40</v>
      </c>
      <c r="I328" s="13">
        <f t="shared" si="3"/>
        <v>2100</v>
      </c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2">
        <v>45213.0</v>
      </c>
      <c r="B329" s="13" t="str">
        <f t="shared" si="1"/>
        <v>Saturday</v>
      </c>
      <c r="C329" s="13" t="str">
        <f>IF(D329="","",VLOOKUP(D329,Menu!$A$2:$B$105,2,0))</f>
        <v>Pizza</v>
      </c>
      <c r="D329" s="13" t="s">
        <v>26</v>
      </c>
      <c r="E329" s="13" t="s">
        <v>5</v>
      </c>
      <c r="F329" s="13">
        <v>1.0</v>
      </c>
      <c r="G329" s="13">
        <f t="array" ref="G329">IF(OR(D329="",E329=""),"",IFERROR(CHOOSE(MATCH(E329,{"S","M","L","-"},0),VLOOKUP(D329,Menu!$A$2:$F$105,3,0),VLOOKUP(D329,Menu!$A$2:$F$105,4,0),VLOOKUP(D329,Menu!$A$2:$F$105,5,0),VLOOKUP(D329,Menu!$A$2:$F$105,6,0)),"N/A"))</f>
        <v>99</v>
      </c>
      <c r="H329" s="13">
        <f t="shared" si="2"/>
        <v>99</v>
      </c>
      <c r="I329" s="13">
        <f t="shared" si="3"/>
        <v>2100</v>
      </c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2">
        <v>45213.0</v>
      </c>
      <c r="B330" s="13" t="str">
        <f t="shared" si="1"/>
        <v>Saturday</v>
      </c>
      <c r="C330" s="13" t="str">
        <f>IF(D330="","",VLOOKUP(D330,Menu!$A$2:$B$105,2,0))</f>
        <v>Pizza</v>
      </c>
      <c r="D330" s="13" t="s">
        <v>24</v>
      </c>
      <c r="E330" s="13" t="s">
        <v>2</v>
      </c>
      <c r="F330" s="13">
        <v>1.0</v>
      </c>
      <c r="G330" s="13">
        <f t="array" ref="G330">IF(OR(D330="",E330=""),"",IFERROR(CHOOSE(MATCH(E330,{"S","M","L","-"},0),VLOOKUP(D330,Menu!$A$2:$F$105,3,0),VLOOKUP(D330,Menu!$A$2:$F$105,4,0),VLOOKUP(D330,Menu!$A$2:$F$105,5,0),VLOOKUP(D330,Menu!$A$2:$F$105,6,0)),"N/A"))</f>
        <v>149</v>
      </c>
      <c r="H330" s="13">
        <f t="shared" si="2"/>
        <v>149</v>
      </c>
      <c r="I330" s="13">
        <f t="shared" si="3"/>
        <v>2100</v>
      </c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2">
        <v>45213.0</v>
      </c>
      <c r="B331" s="13" t="str">
        <f t="shared" si="1"/>
        <v>Saturday</v>
      </c>
      <c r="C331" s="13" t="str">
        <f>IF(D331="","",VLOOKUP(D331,Menu!$A$2:$B$105,2,0))</f>
        <v>Combo</v>
      </c>
      <c r="D331" s="13" t="s">
        <v>57</v>
      </c>
      <c r="E331" s="13" t="s">
        <v>5</v>
      </c>
      <c r="F331" s="13">
        <v>1.0</v>
      </c>
      <c r="G331" s="13">
        <f t="array" ref="G331">IF(OR(D331="",E331=""),"",IFERROR(CHOOSE(MATCH(E331,{"S","M","L","-"},0),VLOOKUP(D331,Menu!$A$2:$F$105,3,0),VLOOKUP(D331,Menu!$A$2:$F$105,4,0),VLOOKUP(D331,Menu!$A$2:$F$105,5,0),VLOOKUP(D331,Menu!$A$2:$F$105,6,0)),"N/A"))</f>
        <v>149</v>
      </c>
      <c r="H331" s="13">
        <f t="shared" si="2"/>
        <v>149</v>
      </c>
      <c r="I331" s="13">
        <f t="shared" si="3"/>
        <v>2100</v>
      </c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2">
        <v>45213.0</v>
      </c>
      <c r="B332" s="13" t="str">
        <f t="shared" si="1"/>
        <v>Saturday</v>
      </c>
      <c r="C332" s="13" t="str">
        <f>IF(D332="","",VLOOKUP(D332,Menu!$A$2:$B$105,2,0))</f>
        <v>Pizza</v>
      </c>
      <c r="D332" s="13" t="s">
        <v>21</v>
      </c>
      <c r="E332" s="13" t="s">
        <v>2</v>
      </c>
      <c r="F332" s="13">
        <v>1.0</v>
      </c>
      <c r="G332" s="13">
        <f t="array" ref="G332">IF(OR(D332="",E332=""),"",IFERROR(CHOOSE(MATCH(E332,{"S","M","L","-"},0),VLOOKUP(D332,Menu!$A$2:$F$105,3,0),VLOOKUP(D332,Menu!$A$2:$F$105,4,0),VLOOKUP(D332,Menu!$A$2:$F$105,5,0),VLOOKUP(D332,Menu!$A$2:$F$105,6,0)),"N/A"))</f>
        <v>119</v>
      </c>
      <c r="H332" s="13">
        <f t="shared" si="2"/>
        <v>119</v>
      </c>
      <c r="I332" s="13">
        <f t="shared" si="3"/>
        <v>2100</v>
      </c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9">
        <v>45214.0</v>
      </c>
      <c r="B333" s="10" t="str">
        <f t="shared" si="1"/>
        <v>Sunday</v>
      </c>
      <c r="C333" s="10" t="str">
        <f>IF(D333="","",VLOOKUP(D333,Menu!$A$2:$B$105,2,0))</f>
        <v>Pizza</v>
      </c>
      <c r="D333" s="10" t="s">
        <v>14</v>
      </c>
      <c r="E333" s="10" t="s">
        <v>3</v>
      </c>
      <c r="F333" s="10">
        <v>1.0</v>
      </c>
      <c r="G333" s="10">
        <f t="array" ref="G333">IF(OR(D333="",E333=""),"",IFERROR(CHOOSE(MATCH(E333,{"S","M","L","-"},0),VLOOKUP(D333,Menu!$A$2:$F$105,3,0),VLOOKUP(D333,Menu!$A$2:$F$105,4,0),VLOOKUP(D333,Menu!$A$2:$F$105,5,0),VLOOKUP(D333,Menu!$A$2:$F$105,6,0)),"N/A"))</f>
        <v>129</v>
      </c>
      <c r="H333" s="10">
        <f t="shared" si="2"/>
        <v>129</v>
      </c>
      <c r="I333" s="10">
        <f t="shared" si="3"/>
        <v>646</v>
      </c>
      <c r="J333" s="1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9">
        <v>45214.0</v>
      </c>
      <c r="B334" s="10" t="str">
        <f t="shared" si="1"/>
        <v>Sunday</v>
      </c>
      <c r="C334" s="10" t="str">
        <f>IF(D334="","",VLOOKUP(D334,Menu!$A$2:$B$105,2,0))</f>
        <v>Pizza</v>
      </c>
      <c r="D334" s="10" t="s">
        <v>15</v>
      </c>
      <c r="E334" s="10" t="s">
        <v>3</v>
      </c>
      <c r="F334" s="10">
        <v>1.0</v>
      </c>
      <c r="G334" s="10">
        <f t="array" ref="G334">IF(OR(D334="",E334=""),"",IFERROR(CHOOSE(MATCH(E334,{"S","M","L","-"},0),VLOOKUP(D334,Menu!$A$2:$F$105,3,0),VLOOKUP(D334,Menu!$A$2:$F$105,4,0),VLOOKUP(D334,Menu!$A$2:$F$105,5,0),VLOOKUP(D334,Menu!$A$2:$F$105,6,0)),"N/A"))</f>
        <v>149</v>
      </c>
      <c r="H334" s="10">
        <f t="shared" si="2"/>
        <v>149</v>
      </c>
      <c r="I334" s="10">
        <f t="shared" si="3"/>
        <v>646</v>
      </c>
      <c r="J334" s="1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9">
        <v>45214.0</v>
      </c>
      <c r="B335" s="10" t="str">
        <f t="shared" si="1"/>
        <v>Sunday</v>
      </c>
      <c r="C335" s="10" t="str">
        <f>IF(D335="","",VLOOKUP(D335,Menu!$A$2:$B$105,2,0))</f>
        <v>Pizza</v>
      </c>
      <c r="D335" s="10" t="s">
        <v>23</v>
      </c>
      <c r="E335" s="10" t="s">
        <v>3</v>
      </c>
      <c r="F335" s="10">
        <v>1.0</v>
      </c>
      <c r="G335" s="10">
        <f t="array" ref="G335">IF(OR(D335="",E335=""),"",IFERROR(CHOOSE(MATCH(E335,{"S","M","L","-"},0),VLOOKUP(D335,Menu!$A$2:$F$105,3,0),VLOOKUP(D335,Menu!$A$2:$F$105,4,0),VLOOKUP(D335,Menu!$A$2:$F$105,5,0),VLOOKUP(D335,Menu!$A$2:$F$105,6,0)),"N/A"))</f>
        <v>230</v>
      </c>
      <c r="H335" s="10">
        <f t="shared" si="2"/>
        <v>230</v>
      </c>
      <c r="I335" s="10">
        <f t="shared" si="3"/>
        <v>646</v>
      </c>
      <c r="J335" s="1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9">
        <v>45214.0</v>
      </c>
      <c r="B336" s="10" t="str">
        <f t="shared" si="1"/>
        <v>Sunday</v>
      </c>
      <c r="C336" s="10" t="str">
        <f>IF(D336="","",VLOOKUP(D336,Menu!$A$2:$B$105,2,0))</f>
        <v>Beverage</v>
      </c>
      <c r="D336" s="10" t="s">
        <v>63</v>
      </c>
      <c r="E336" s="10" t="s">
        <v>5</v>
      </c>
      <c r="F336" s="10">
        <v>2.0</v>
      </c>
      <c r="G336" s="10">
        <f t="array" ref="G336">IF(OR(D336="",E336=""),"",IFERROR(CHOOSE(MATCH(E336,{"S","M","L","-"},0),VLOOKUP(D336,Menu!$A$2:$F$105,3,0),VLOOKUP(D336,Menu!$A$2:$F$105,4,0),VLOOKUP(D336,Menu!$A$2:$F$105,5,0),VLOOKUP(D336,Menu!$A$2:$F$105,6,0)),"N/A"))</f>
        <v>20</v>
      </c>
      <c r="H336" s="10">
        <f t="shared" si="2"/>
        <v>40</v>
      </c>
      <c r="I336" s="10">
        <f t="shared" si="3"/>
        <v>646</v>
      </c>
      <c r="J336" s="1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9">
        <v>45214.0</v>
      </c>
      <c r="B337" s="10" t="str">
        <f t="shared" si="1"/>
        <v>Sunday</v>
      </c>
      <c r="C337" s="10" t="str">
        <f>IF(D337="","",VLOOKUP(D337,Menu!$A$2:$B$105,2,0))</f>
        <v>Pizza</v>
      </c>
      <c r="D337" s="10" t="s">
        <v>9</v>
      </c>
      <c r="E337" s="10" t="s">
        <v>2</v>
      </c>
      <c r="F337" s="10">
        <v>1.0</v>
      </c>
      <c r="G337" s="10">
        <f t="array" ref="G337">IF(OR(D337="",E337=""),"",IFERROR(CHOOSE(MATCH(E337,{"S","M","L","-"},0),VLOOKUP(D337,Menu!$A$2:$F$105,3,0),VLOOKUP(D337,Menu!$A$2:$F$105,4,0),VLOOKUP(D337,Menu!$A$2:$F$105,5,0),VLOOKUP(D337,Menu!$A$2:$F$105,6,0)),"N/A"))</f>
        <v>59</v>
      </c>
      <c r="H337" s="10">
        <f t="shared" si="2"/>
        <v>59</v>
      </c>
      <c r="I337" s="10">
        <f t="shared" si="3"/>
        <v>646</v>
      </c>
      <c r="J337" s="1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9">
        <v>45214.0</v>
      </c>
      <c r="B338" s="10" t="str">
        <f t="shared" si="1"/>
        <v>Sunday</v>
      </c>
      <c r="C338" s="10" t="str">
        <f>IF(D338="","",VLOOKUP(D338,Menu!$A$2:$B$105,2,0))</f>
        <v>Burger</v>
      </c>
      <c r="D338" s="10" t="s">
        <v>27</v>
      </c>
      <c r="E338" s="10" t="s">
        <v>5</v>
      </c>
      <c r="F338" s="10">
        <v>1.0</v>
      </c>
      <c r="G338" s="10">
        <f t="array" ref="G338">IF(OR(D338="",E338=""),"",IFERROR(CHOOSE(MATCH(E338,{"S","M","L","-"},0),VLOOKUP(D338,Menu!$A$2:$F$105,3,0),VLOOKUP(D338,Menu!$A$2:$F$105,4,0),VLOOKUP(D338,Menu!$A$2:$F$105,5,0),VLOOKUP(D338,Menu!$A$2:$F$105,6,0)),"N/A"))</f>
        <v>39</v>
      </c>
      <c r="H338" s="10">
        <f t="shared" si="2"/>
        <v>39</v>
      </c>
      <c r="I338" s="10">
        <f t="shared" si="3"/>
        <v>646</v>
      </c>
      <c r="J338" s="1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2">
        <v>45215.0</v>
      </c>
      <c r="B339" s="13" t="str">
        <f t="shared" si="1"/>
        <v>Monday</v>
      </c>
      <c r="C339" s="13" t="str">
        <f>IF(D339="","",VLOOKUP(D339,Menu!$A$2:$B$105,2,0))</f>
        <v>Burger</v>
      </c>
      <c r="D339" s="13" t="s">
        <v>29</v>
      </c>
      <c r="E339" s="13" t="s">
        <v>5</v>
      </c>
      <c r="F339" s="13">
        <v>6.0</v>
      </c>
      <c r="G339" s="13">
        <f t="array" ref="G339">IF(OR(D339="",E339=""),"",IFERROR(CHOOSE(MATCH(E339,{"S","M","L","-"},0),VLOOKUP(D339,Menu!$A$2:$F$105,3,0),VLOOKUP(D339,Menu!$A$2:$F$105,4,0),VLOOKUP(D339,Menu!$A$2:$F$105,5,0),VLOOKUP(D339,Menu!$A$2:$F$105,6,0)),"N/A"))</f>
        <v>59</v>
      </c>
      <c r="H339" s="13">
        <f t="shared" si="2"/>
        <v>354</v>
      </c>
      <c r="I339" s="13">
        <f t="shared" si="3"/>
        <v>1184</v>
      </c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2">
        <v>45215.0</v>
      </c>
      <c r="B340" s="13" t="str">
        <f t="shared" si="1"/>
        <v>Monday</v>
      </c>
      <c r="C340" s="13" t="str">
        <f>IF(D340="","",VLOOKUP(D340,Menu!$A$2:$B$105,2,0))</f>
        <v>Pizza</v>
      </c>
      <c r="D340" s="13" t="s">
        <v>11</v>
      </c>
      <c r="E340" s="13" t="s">
        <v>2</v>
      </c>
      <c r="F340" s="13">
        <v>3.0</v>
      </c>
      <c r="G340" s="13">
        <f t="array" ref="G340">IF(OR(D340="",E340=""),"",IFERROR(CHOOSE(MATCH(E340,{"S","M","L","-"},0),VLOOKUP(D340,Menu!$A$2:$F$105,3,0),VLOOKUP(D340,Menu!$A$2:$F$105,4,0),VLOOKUP(D340,Menu!$A$2:$F$105,5,0),VLOOKUP(D340,Menu!$A$2:$F$105,6,0)),"N/A"))</f>
        <v>69</v>
      </c>
      <c r="H340" s="13">
        <f t="shared" si="2"/>
        <v>207</v>
      </c>
      <c r="I340" s="13">
        <f t="shared" si="3"/>
        <v>1184</v>
      </c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2">
        <v>45215.0</v>
      </c>
      <c r="B341" s="13" t="str">
        <f t="shared" si="1"/>
        <v>Monday</v>
      </c>
      <c r="C341" s="13" t="str">
        <f>IF(D341="","",VLOOKUP(D341,Menu!$A$2:$B$105,2,0))</f>
        <v>Pizza</v>
      </c>
      <c r="D341" s="13" t="s">
        <v>15</v>
      </c>
      <c r="E341" s="13" t="s">
        <v>2</v>
      </c>
      <c r="F341" s="13">
        <v>3.0</v>
      </c>
      <c r="G341" s="13">
        <f t="array" ref="G341">IF(OR(D341="",E341=""),"",IFERROR(CHOOSE(MATCH(E341,{"S","M","L","-"},0),VLOOKUP(D341,Menu!$A$2:$F$105,3,0),VLOOKUP(D341,Menu!$A$2:$F$105,4,0),VLOOKUP(D341,Menu!$A$2:$F$105,5,0),VLOOKUP(D341,Menu!$A$2:$F$105,6,0)),"N/A"))</f>
        <v>99</v>
      </c>
      <c r="H341" s="13">
        <f t="shared" si="2"/>
        <v>297</v>
      </c>
      <c r="I341" s="13">
        <f t="shared" si="3"/>
        <v>1184</v>
      </c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2">
        <v>45215.0</v>
      </c>
      <c r="B342" s="13" t="str">
        <f t="shared" si="1"/>
        <v>Monday</v>
      </c>
      <c r="C342" s="13" t="str">
        <f>IF(D342="","",VLOOKUP(D342,Menu!$A$2:$B$105,2,0))</f>
        <v>Pizza</v>
      </c>
      <c r="D342" s="13" t="s">
        <v>11</v>
      </c>
      <c r="E342" s="13" t="s">
        <v>3</v>
      </c>
      <c r="F342" s="13">
        <v>1.0</v>
      </c>
      <c r="G342" s="13">
        <f t="array" ref="G342">IF(OR(D342="",E342=""),"",IFERROR(CHOOSE(MATCH(E342,{"S","M","L","-"},0),VLOOKUP(D342,Menu!$A$2:$F$105,3,0),VLOOKUP(D342,Menu!$A$2:$F$105,4,0),VLOOKUP(D342,Menu!$A$2:$F$105,5,0),VLOOKUP(D342,Menu!$A$2:$F$105,6,0)),"N/A"))</f>
        <v>109</v>
      </c>
      <c r="H342" s="13">
        <f t="shared" si="2"/>
        <v>109</v>
      </c>
      <c r="I342" s="13">
        <f t="shared" si="3"/>
        <v>1184</v>
      </c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2">
        <v>45215.0</v>
      </c>
      <c r="B343" s="13" t="str">
        <f t="shared" si="1"/>
        <v>Monday</v>
      </c>
      <c r="C343" s="13" t="str">
        <f>IF(D343="","",VLOOKUP(D343,Menu!$A$2:$B$105,2,0))</f>
        <v>Shake</v>
      </c>
      <c r="D343" s="13" t="s">
        <v>46</v>
      </c>
      <c r="E343" s="13" t="s">
        <v>5</v>
      </c>
      <c r="F343" s="13">
        <v>1.0</v>
      </c>
      <c r="G343" s="13">
        <f t="array" ref="G343">IF(OR(D343="",E343=""),"",IFERROR(CHOOSE(MATCH(E343,{"S","M","L","-"},0),VLOOKUP(D343,Menu!$A$2:$F$105,3,0),VLOOKUP(D343,Menu!$A$2:$F$105,4,0),VLOOKUP(D343,Menu!$A$2:$F$105,5,0),VLOOKUP(D343,Menu!$A$2:$F$105,6,0)),"N/A"))</f>
        <v>50</v>
      </c>
      <c r="H343" s="13">
        <f t="shared" si="2"/>
        <v>50</v>
      </c>
      <c r="I343" s="13">
        <f t="shared" si="3"/>
        <v>1184</v>
      </c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2">
        <v>45215.0</v>
      </c>
      <c r="B344" s="13" t="str">
        <f t="shared" si="1"/>
        <v>Monday</v>
      </c>
      <c r="C344" s="13" t="str">
        <f>IF(D344="","",VLOOKUP(D344,Menu!$A$2:$B$105,2,0))</f>
        <v>Pizza</v>
      </c>
      <c r="D344" s="13" t="s">
        <v>8</v>
      </c>
      <c r="E344" s="13" t="s">
        <v>2</v>
      </c>
      <c r="F344" s="13">
        <v>2.0</v>
      </c>
      <c r="G344" s="13">
        <f t="array" ref="G344">IF(OR(D344="",E344=""),"",IFERROR(CHOOSE(MATCH(E344,{"S","M","L","-"},0),VLOOKUP(D344,Menu!$A$2:$F$105,3,0),VLOOKUP(D344,Menu!$A$2:$F$105,4,0),VLOOKUP(D344,Menu!$A$2:$F$105,5,0),VLOOKUP(D344,Menu!$A$2:$F$105,6,0)),"N/A"))</f>
        <v>59</v>
      </c>
      <c r="H344" s="13">
        <f t="shared" si="2"/>
        <v>118</v>
      </c>
      <c r="I344" s="13">
        <f t="shared" si="3"/>
        <v>1184</v>
      </c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2">
        <v>45215.0</v>
      </c>
      <c r="B345" s="13" t="str">
        <f t="shared" si="1"/>
        <v>Monday</v>
      </c>
      <c r="C345" s="13" t="str">
        <f>IF(D345="","",VLOOKUP(D345,Menu!$A$2:$B$105,2,0))</f>
        <v>Pizza</v>
      </c>
      <c r="D345" s="13" t="s">
        <v>6</v>
      </c>
      <c r="E345" s="13" t="s">
        <v>2</v>
      </c>
      <c r="F345" s="13">
        <v>1.0</v>
      </c>
      <c r="G345" s="13">
        <f t="array" ref="G345">IF(OR(D345="",E345=""),"",IFERROR(CHOOSE(MATCH(E345,{"S","M","L","-"},0),VLOOKUP(D345,Menu!$A$2:$F$105,3,0),VLOOKUP(D345,Menu!$A$2:$F$105,4,0),VLOOKUP(D345,Menu!$A$2:$F$105,5,0),VLOOKUP(D345,Menu!$A$2:$F$105,6,0)),"N/A"))</f>
        <v>49</v>
      </c>
      <c r="H345" s="13">
        <f t="shared" si="2"/>
        <v>49</v>
      </c>
      <c r="I345" s="13">
        <f t="shared" si="3"/>
        <v>1184</v>
      </c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9">
        <v>45216.0</v>
      </c>
      <c r="B346" s="10" t="str">
        <f t="shared" si="1"/>
        <v>Tuesday</v>
      </c>
      <c r="C346" s="10" t="str">
        <f>IF(D346="","",VLOOKUP(D346,Menu!$A$2:$B$105,2,0))</f>
        <v>Pizza</v>
      </c>
      <c r="D346" s="10" t="s">
        <v>8</v>
      </c>
      <c r="E346" s="10" t="s">
        <v>2</v>
      </c>
      <c r="F346" s="10">
        <v>2.0</v>
      </c>
      <c r="G346" s="10">
        <f t="array" ref="G346">IF(OR(D346="",E346=""),"",IFERROR(CHOOSE(MATCH(E346,{"S","M","L","-"},0),VLOOKUP(D346,Menu!$A$2:$F$105,3,0),VLOOKUP(D346,Menu!$A$2:$F$105,4,0),VLOOKUP(D346,Menu!$A$2:$F$105,5,0),VLOOKUP(D346,Menu!$A$2:$F$105,6,0)),"N/A"))</f>
        <v>59</v>
      </c>
      <c r="H346" s="10">
        <f t="shared" si="2"/>
        <v>118</v>
      </c>
      <c r="I346" s="10">
        <f t="shared" si="3"/>
        <v>961</v>
      </c>
      <c r="J346" s="1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9">
        <v>45216.0</v>
      </c>
      <c r="B347" s="10" t="str">
        <f t="shared" si="1"/>
        <v>Tuesday</v>
      </c>
      <c r="C347" s="10" t="str">
        <f>IF(D347="","",VLOOKUP(D347,Menu!$A$2:$B$105,2,0))</f>
        <v>Pizza</v>
      </c>
      <c r="D347" s="10" t="s">
        <v>11</v>
      </c>
      <c r="E347" s="10" t="s">
        <v>2</v>
      </c>
      <c r="F347" s="10">
        <v>1.0</v>
      </c>
      <c r="G347" s="10">
        <f t="array" ref="G347">IF(OR(D347="",E347=""),"",IFERROR(CHOOSE(MATCH(E347,{"S","M","L","-"},0),VLOOKUP(D347,Menu!$A$2:$F$105,3,0),VLOOKUP(D347,Menu!$A$2:$F$105,4,0),VLOOKUP(D347,Menu!$A$2:$F$105,5,0),VLOOKUP(D347,Menu!$A$2:$F$105,6,0)),"N/A"))</f>
        <v>69</v>
      </c>
      <c r="H347" s="10">
        <f t="shared" si="2"/>
        <v>69</v>
      </c>
      <c r="I347" s="10">
        <f t="shared" si="3"/>
        <v>961</v>
      </c>
      <c r="J347" s="1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9">
        <v>45216.0</v>
      </c>
      <c r="B348" s="10" t="str">
        <f t="shared" si="1"/>
        <v>Tuesday</v>
      </c>
      <c r="C348" s="10" t="str">
        <f>IF(D348="","",VLOOKUP(D348,Menu!$A$2:$B$105,2,0))</f>
        <v>Burger</v>
      </c>
      <c r="D348" s="10" t="s">
        <v>27</v>
      </c>
      <c r="E348" s="10" t="s">
        <v>5</v>
      </c>
      <c r="F348" s="10">
        <v>2.0</v>
      </c>
      <c r="G348" s="10">
        <f t="array" ref="G348">IF(OR(D348="",E348=""),"",IFERROR(CHOOSE(MATCH(E348,{"S","M","L","-"},0),VLOOKUP(D348,Menu!$A$2:$F$105,3,0),VLOOKUP(D348,Menu!$A$2:$F$105,4,0),VLOOKUP(D348,Menu!$A$2:$F$105,5,0),VLOOKUP(D348,Menu!$A$2:$F$105,6,0)),"N/A"))</f>
        <v>39</v>
      </c>
      <c r="H348" s="10">
        <f t="shared" si="2"/>
        <v>78</v>
      </c>
      <c r="I348" s="10">
        <f t="shared" si="3"/>
        <v>961</v>
      </c>
      <c r="J348" s="10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9">
        <v>45216.0</v>
      </c>
      <c r="B349" s="10" t="str">
        <f t="shared" si="1"/>
        <v>Tuesday</v>
      </c>
      <c r="C349" s="10" t="str">
        <f>IF(D349="","",VLOOKUP(D349,Menu!$A$2:$B$105,2,0))</f>
        <v>Shake</v>
      </c>
      <c r="D349" s="10" t="s">
        <v>38</v>
      </c>
      <c r="E349" s="10" t="s">
        <v>5</v>
      </c>
      <c r="F349" s="10">
        <v>1.0</v>
      </c>
      <c r="G349" s="10">
        <f t="array" ref="G349">IF(OR(D349="",E349=""),"",IFERROR(CHOOSE(MATCH(E349,{"S","M","L","-"},0),VLOOKUP(D349,Menu!$A$2:$F$105,3,0),VLOOKUP(D349,Menu!$A$2:$F$105,4,0),VLOOKUP(D349,Menu!$A$2:$F$105,5,0),VLOOKUP(D349,Menu!$A$2:$F$105,6,0)),"N/A"))</f>
        <v>70</v>
      </c>
      <c r="H349" s="10">
        <f t="shared" si="2"/>
        <v>70</v>
      </c>
      <c r="I349" s="10">
        <f t="shared" si="3"/>
        <v>961</v>
      </c>
      <c r="J349" s="10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9">
        <v>45216.0</v>
      </c>
      <c r="B350" s="10" t="str">
        <f t="shared" si="1"/>
        <v>Tuesday</v>
      </c>
      <c r="C350" s="10" t="str">
        <f>IF(D350="","",VLOOKUP(D350,Menu!$A$2:$B$105,2,0))</f>
        <v>Pizza</v>
      </c>
      <c r="D350" s="10" t="s">
        <v>26</v>
      </c>
      <c r="E350" s="10" t="s">
        <v>5</v>
      </c>
      <c r="F350" s="10">
        <v>1.0</v>
      </c>
      <c r="G350" s="10">
        <f t="array" ref="G350">IF(OR(D350="",E350=""),"",IFERROR(CHOOSE(MATCH(E350,{"S","M","L","-"},0),VLOOKUP(D350,Menu!$A$2:$F$105,3,0),VLOOKUP(D350,Menu!$A$2:$F$105,4,0),VLOOKUP(D350,Menu!$A$2:$F$105,5,0),VLOOKUP(D350,Menu!$A$2:$F$105,6,0)),"N/A"))</f>
        <v>99</v>
      </c>
      <c r="H350" s="10">
        <f t="shared" si="2"/>
        <v>99</v>
      </c>
      <c r="I350" s="10">
        <f t="shared" si="3"/>
        <v>961</v>
      </c>
      <c r="J350" s="1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9">
        <v>45216.0</v>
      </c>
      <c r="B351" s="10" t="str">
        <f t="shared" si="1"/>
        <v>Tuesday</v>
      </c>
      <c r="C351" s="10" t="str">
        <f>IF(D351="","",VLOOKUP(D351,Menu!$A$2:$B$105,2,0))</f>
        <v>Shake</v>
      </c>
      <c r="D351" s="10" t="s">
        <v>46</v>
      </c>
      <c r="E351" s="10" t="s">
        <v>5</v>
      </c>
      <c r="F351" s="10">
        <v>1.0</v>
      </c>
      <c r="G351" s="10">
        <f t="array" ref="G351">IF(OR(D351="",E351=""),"",IFERROR(CHOOSE(MATCH(E351,{"S","M","L","-"},0),VLOOKUP(D351,Menu!$A$2:$F$105,3,0),VLOOKUP(D351,Menu!$A$2:$F$105,4,0),VLOOKUP(D351,Menu!$A$2:$F$105,5,0),VLOOKUP(D351,Menu!$A$2:$F$105,6,0)),"N/A"))</f>
        <v>50</v>
      </c>
      <c r="H351" s="10">
        <f t="shared" si="2"/>
        <v>50</v>
      </c>
      <c r="I351" s="10">
        <f t="shared" si="3"/>
        <v>961</v>
      </c>
      <c r="J351" s="1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9">
        <v>45216.0</v>
      </c>
      <c r="B352" s="10" t="str">
        <f t="shared" si="1"/>
        <v>Tuesday</v>
      </c>
      <c r="C352" s="10" t="str">
        <f>IF(D352="","",VLOOKUP(D352,Menu!$A$2:$B$105,2,0))</f>
        <v>Beverage</v>
      </c>
      <c r="D352" s="10" t="s">
        <v>63</v>
      </c>
      <c r="E352" s="10" t="s">
        <v>5</v>
      </c>
      <c r="F352" s="10">
        <v>1.0</v>
      </c>
      <c r="G352" s="10">
        <f t="array" ref="G352">IF(OR(D352="",E352=""),"",IFERROR(CHOOSE(MATCH(E352,{"S","M","L","-"},0),VLOOKUP(D352,Menu!$A$2:$F$105,3,0),VLOOKUP(D352,Menu!$A$2:$F$105,4,0),VLOOKUP(D352,Menu!$A$2:$F$105,5,0),VLOOKUP(D352,Menu!$A$2:$F$105,6,0)),"N/A"))</f>
        <v>20</v>
      </c>
      <c r="H352" s="10">
        <f t="shared" si="2"/>
        <v>20</v>
      </c>
      <c r="I352" s="10">
        <f t="shared" si="3"/>
        <v>961</v>
      </c>
      <c r="J352" s="1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9">
        <v>45216.0</v>
      </c>
      <c r="B353" s="10" t="str">
        <f t="shared" si="1"/>
        <v>Tuesday</v>
      </c>
      <c r="C353" s="10" t="str">
        <f>IF(D353="","",VLOOKUP(D353,Menu!$A$2:$B$105,2,0))</f>
        <v>Pizza</v>
      </c>
      <c r="D353" s="10" t="s">
        <v>11</v>
      </c>
      <c r="E353" s="10" t="s">
        <v>3</v>
      </c>
      <c r="F353" s="10">
        <v>1.0</v>
      </c>
      <c r="G353" s="10">
        <f t="array" ref="G353">IF(OR(D353="",E353=""),"",IFERROR(CHOOSE(MATCH(E353,{"S","M","L","-"},0),VLOOKUP(D353,Menu!$A$2:$F$105,3,0),VLOOKUP(D353,Menu!$A$2:$F$105,4,0),VLOOKUP(D353,Menu!$A$2:$F$105,5,0),VLOOKUP(D353,Menu!$A$2:$F$105,6,0)),"N/A"))</f>
        <v>109</v>
      </c>
      <c r="H353" s="10">
        <f t="shared" si="2"/>
        <v>109</v>
      </c>
      <c r="I353" s="10">
        <f t="shared" si="3"/>
        <v>961</v>
      </c>
      <c r="J353" s="1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9">
        <v>45216.0</v>
      </c>
      <c r="B354" s="10" t="str">
        <f t="shared" si="1"/>
        <v>Tuesday</v>
      </c>
      <c r="C354" s="10" t="str">
        <f>IF(D354="","",VLOOKUP(D354,Menu!$A$2:$B$105,2,0))</f>
        <v>Pizza</v>
      </c>
      <c r="D354" s="10" t="s">
        <v>17</v>
      </c>
      <c r="E354" s="10" t="s">
        <v>3</v>
      </c>
      <c r="F354" s="10">
        <v>1.0</v>
      </c>
      <c r="G354" s="10">
        <f t="array" ref="G354">IF(OR(D354="",E354=""),"",IFERROR(CHOOSE(MATCH(E354,{"S","M","L","-"},0),VLOOKUP(D354,Menu!$A$2:$F$105,3,0),VLOOKUP(D354,Menu!$A$2:$F$105,4,0),VLOOKUP(D354,Menu!$A$2:$F$105,5,0),VLOOKUP(D354,Menu!$A$2:$F$105,6,0)),"N/A"))</f>
        <v>199</v>
      </c>
      <c r="H354" s="10">
        <f t="shared" si="2"/>
        <v>199</v>
      </c>
      <c r="I354" s="10">
        <f t="shared" si="3"/>
        <v>961</v>
      </c>
      <c r="J354" s="1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9">
        <v>45216.0</v>
      </c>
      <c r="B355" s="10" t="str">
        <f t="shared" si="1"/>
        <v>Tuesday</v>
      </c>
      <c r="C355" s="10" t="str">
        <f>IF(D355="","",VLOOKUP(D355,Menu!$A$2:$B$105,2,0))</f>
        <v>Pizza</v>
      </c>
      <c r="D355" s="10" t="s">
        <v>15</v>
      </c>
      <c r="E355" s="10" t="s">
        <v>3</v>
      </c>
      <c r="F355" s="10">
        <v>1.0</v>
      </c>
      <c r="G355" s="10">
        <f t="array" ref="G355">IF(OR(D355="",E355=""),"",IFERROR(CHOOSE(MATCH(E355,{"S","M","L","-"},0),VLOOKUP(D355,Menu!$A$2:$F$105,3,0),VLOOKUP(D355,Menu!$A$2:$F$105,4,0),VLOOKUP(D355,Menu!$A$2:$F$105,5,0),VLOOKUP(D355,Menu!$A$2:$F$105,6,0)),"N/A"))</f>
        <v>149</v>
      </c>
      <c r="H355" s="10">
        <f t="shared" si="2"/>
        <v>149</v>
      </c>
      <c r="I355" s="10">
        <f t="shared" si="3"/>
        <v>961</v>
      </c>
      <c r="J355" s="1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2">
        <v>45217.0</v>
      </c>
      <c r="B356" s="13" t="str">
        <f t="shared" si="1"/>
        <v>Wednesday</v>
      </c>
      <c r="C356" s="13" t="str">
        <f>IF(D356="","",VLOOKUP(D356,Menu!$A$2:$B$105,2,0))</f>
        <v>Pizza</v>
      </c>
      <c r="D356" s="13" t="s">
        <v>15</v>
      </c>
      <c r="E356" s="13" t="s">
        <v>2</v>
      </c>
      <c r="F356" s="13">
        <v>1.0</v>
      </c>
      <c r="G356" s="13">
        <f t="array" ref="G356">IF(OR(D356="",E356=""),"",IFERROR(CHOOSE(MATCH(E356,{"S","M","L","-"},0),VLOOKUP(D356,Menu!$A$2:$F$105,3,0),VLOOKUP(D356,Menu!$A$2:$F$105,4,0),VLOOKUP(D356,Menu!$A$2:$F$105,5,0),VLOOKUP(D356,Menu!$A$2:$F$105,6,0)),"N/A"))</f>
        <v>99</v>
      </c>
      <c r="H356" s="13">
        <f t="shared" si="2"/>
        <v>99</v>
      </c>
      <c r="I356" s="13">
        <f t="shared" si="3"/>
        <v>376</v>
      </c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2">
        <v>45217.0</v>
      </c>
      <c r="B357" s="13" t="str">
        <f t="shared" si="1"/>
        <v>Wednesday</v>
      </c>
      <c r="C357" s="13" t="str">
        <f>IF(D357="","",VLOOKUP(D357,Menu!$A$2:$B$105,2,0))</f>
        <v>Burger</v>
      </c>
      <c r="D357" s="13" t="s">
        <v>27</v>
      </c>
      <c r="E357" s="13" t="s">
        <v>5</v>
      </c>
      <c r="F357" s="13">
        <v>1.0</v>
      </c>
      <c r="G357" s="13">
        <f t="array" ref="G357">IF(OR(D357="",E357=""),"",IFERROR(CHOOSE(MATCH(E357,{"S","M","L","-"},0),VLOOKUP(D357,Menu!$A$2:$F$105,3,0),VLOOKUP(D357,Menu!$A$2:$F$105,4,0),VLOOKUP(D357,Menu!$A$2:$F$105,5,0),VLOOKUP(D357,Menu!$A$2:$F$105,6,0)),"N/A"))</f>
        <v>39</v>
      </c>
      <c r="H357" s="13">
        <f t="shared" si="2"/>
        <v>39</v>
      </c>
      <c r="I357" s="13">
        <f t="shared" si="3"/>
        <v>376</v>
      </c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2">
        <v>45217.0</v>
      </c>
      <c r="B358" s="13" t="str">
        <f t="shared" si="1"/>
        <v>Wednesday</v>
      </c>
      <c r="C358" s="13" t="str">
        <f>IF(D358="","",VLOOKUP(D358,Menu!$A$2:$B$105,2,0))</f>
        <v>Dessert</v>
      </c>
      <c r="D358" s="13" t="s">
        <v>49</v>
      </c>
      <c r="E358" s="13" t="s">
        <v>5</v>
      </c>
      <c r="F358" s="13">
        <v>2.0</v>
      </c>
      <c r="G358" s="13">
        <f t="array" ref="G358">IF(OR(D358="",E358=""),"",IFERROR(CHOOSE(MATCH(E358,{"S","M","L","-"},0),VLOOKUP(D358,Menu!$A$2:$F$105,3,0),VLOOKUP(D358,Menu!$A$2:$F$105,4,0),VLOOKUP(D358,Menu!$A$2:$F$105,5,0),VLOOKUP(D358,Menu!$A$2:$F$105,6,0)),"N/A"))</f>
        <v>40</v>
      </c>
      <c r="H358" s="13">
        <f t="shared" si="2"/>
        <v>80</v>
      </c>
      <c r="I358" s="13">
        <f t="shared" si="3"/>
        <v>376</v>
      </c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2">
        <v>45217.0</v>
      </c>
      <c r="B359" s="13" t="str">
        <f t="shared" si="1"/>
        <v>Wednesday</v>
      </c>
      <c r="C359" s="13" t="str">
        <f>IF(D359="","",VLOOKUP(D359,Menu!$A$2:$B$105,2,0))</f>
        <v>Beverage</v>
      </c>
      <c r="D359" s="13" t="s">
        <v>63</v>
      </c>
      <c r="E359" s="13" t="s">
        <v>5</v>
      </c>
      <c r="F359" s="13">
        <v>1.0</v>
      </c>
      <c r="G359" s="13">
        <f t="array" ref="G359">IF(OR(D359="",E359=""),"",IFERROR(CHOOSE(MATCH(E359,{"S","M","L","-"},0),VLOOKUP(D359,Menu!$A$2:$F$105,3,0),VLOOKUP(D359,Menu!$A$2:$F$105,4,0),VLOOKUP(D359,Menu!$A$2:$F$105,5,0),VLOOKUP(D359,Menu!$A$2:$F$105,6,0)),"N/A"))</f>
        <v>20</v>
      </c>
      <c r="H359" s="13">
        <f t="shared" si="2"/>
        <v>20</v>
      </c>
      <c r="I359" s="13">
        <f t="shared" si="3"/>
        <v>376</v>
      </c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2">
        <v>45217.0</v>
      </c>
      <c r="B360" s="13" t="str">
        <f t="shared" si="1"/>
        <v>Wednesday</v>
      </c>
      <c r="C360" s="13" t="str">
        <f>IF(D360="","",VLOOKUP(D360,Menu!$A$2:$B$105,2,0))</f>
        <v>Pizza</v>
      </c>
      <c r="D360" s="13" t="s">
        <v>8</v>
      </c>
      <c r="E360" s="13" t="s">
        <v>2</v>
      </c>
      <c r="F360" s="13">
        <v>1.0</v>
      </c>
      <c r="G360" s="13">
        <f t="array" ref="G360">IF(OR(D360="",E360=""),"",IFERROR(CHOOSE(MATCH(E360,{"S","M","L","-"},0),VLOOKUP(D360,Menu!$A$2:$F$105,3,0),VLOOKUP(D360,Menu!$A$2:$F$105,4,0),VLOOKUP(D360,Menu!$A$2:$F$105,5,0),VLOOKUP(D360,Menu!$A$2:$F$105,6,0)),"N/A"))</f>
        <v>59</v>
      </c>
      <c r="H360" s="13">
        <f t="shared" si="2"/>
        <v>59</v>
      </c>
      <c r="I360" s="13">
        <f t="shared" si="3"/>
        <v>376</v>
      </c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2">
        <v>45217.0</v>
      </c>
      <c r="B361" s="13" t="str">
        <f t="shared" si="1"/>
        <v>Wednesday</v>
      </c>
      <c r="C361" s="13" t="str">
        <f>IF(D361="","",VLOOKUP(D361,Menu!$A$2:$B$105,2,0))</f>
        <v>Pizza</v>
      </c>
      <c r="D361" s="13" t="s">
        <v>13</v>
      </c>
      <c r="E361" s="13" t="s">
        <v>2</v>
      </c>
      <c r="F361" s="13">
        <v>1.0</v>
      </c>
      <c r="G361" s="13">
        <f t="array" ref="G361">IF(OR(D361="",E361=""),"",IFERROR(CHOOSE(MATCH(E361,{"S","M","L","-"},0),VLOOKUP(D361,Menu!$A$2:$F$105,3,0),VLOOKUP(D361,Menu!$A$2:$F$105,4,0),VLOOKUP(D361,Menu!$A$2:$F$105,5,0),VLOOKUP(D361,Menu!$A$2:$F$105,6,0)),"N/A"))</f>
        <v>79</v>
      </c>
      <c r="H361" s="13">
        <f t="shared" si="2"/>
        <v>79</v>
      </c>
      <c r="I361" s="13">
        <f t="shared" si="3"/>
        <v>376</v>
      </c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9">
        <v>45218.0</v>
      </c>
      <c r="B362" s="10" t="str">
        <f t="shared" si="1"/>
        <v>Thursday</v>
      </c>
      <c r="C362" s="10" t="str">
        <f>IF(D362="","",VLOOKUP(D362,Menu!$A$2:$B$105,2,0))</f>
        <v>Pizza</v>
      </c>
      <c r="D362" s="10" t="s">
        <v>9</v>
      </c>
      <c r="E362" s="10" t="s">
        <v>2</v>
      </c>
      <c r="F362" s="10">
        <v>2.0</v>
      </c>
      <c r="G362" s="10">
        <f t="array" ref="G362">IF(OR(D362="",E362=""),"",IFERROR(CHOOSE(MATCH(E362,{"S","M","L","-"},0),VLOOKUP(D362,Menu!$A$2:$F$105,3,0),VLOOKUP(D362,Menu!$A$2:$F$105,4,0),VLOOKUP(D362,Menu!$A$2:$F$105,5,0),VLOOKUP(D362,Menu!$A$2:$F$105,6,0)),"N/A"))</f>
        <v>59</v>
      </c>
      <c r="H362" s="10">
        <f t="shared" si="2"/>
        <v>118</v>
      </c>
      <c r="I362" s="10">
        <f t="shared" si="3"/>
        <v>1395</v>
      </c>
      <c r="J362" s="1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9">
        <v>45218.0</v>
      </c>
      <c r="B363" s="10" t="str">
        <f t="shared" si="1"/>
        <v>Thursday</v>
      </c>
      <c r="C363" s="10" t="str">
        <f>IF(D363="","",VLOOKUP(D363,Menu!$A$2:$B$105,2,0))</f>
        <v>Pizza</v>
      </c>
      <c r="D363" s="10" t="s">
        <v>17</v>
      </c>
      <c r="E363" s="10" t="s">
        <v>3</v>
      </c>
      <c r="F363" s="10">
        <v>1.0</v>
      </c>
      <c r="G363" s="10">
        <f t="array" ref="G363">IF(OR(D363="",E363=""),"",IFERROR(CHOOSE(MATCH(E363,{"S","M","L","-"},0),VLOOKUP(D363,Menu!$A$2:$F$105,3,0),VLOOKUP(D363,Menu!$A$2:$F$105,4,0),VLOOKUP(D363,Menu!$A$2:$F$105,5,0),VLOOKUP(D363,Menu!$A$2:$F$105,6,0)),"N/A"))</f>
        <v>199</v>
      </c>
      <c r="H363" s="10">
        <f t="shared" si="2"/>
        <v>199</v>
      </c>
      <c r="I363" s="10">
        <f t="shared" si="3"/>
        <v>1395</v>
      </c>
      <c r="J363" s="1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9">
        <v>45218.0</v>
      </c>
      <c r="B364" s="10" t="str">
        <f t="shared" si="1"/>
        <v>Thursday</v>
      </c>
      <c r="C364" s="10" t="str">
        <f>IF(D364="","",VLOOKUP(D364,Menu!$A$2:$B$105,2,0))</f>
        <v>Pizza</v>
      </c>
      <c r="D364" s="10" t="s">
        <v>11</v>
      </c>
      <c r="E364" s="10" t="s">
        <v>3</v>
      </c>
      <c r="F364" s="10">
        <v>1.0</v>
      </c>
      <c r="G364" s="10">
        <f t="array" ref="G364">IF(OR(D364="",E364=""),"",IFERROR(CHOOSE(MATCH(E364,{"S","M","L","-"},0),VLOOKUP(D364,Menu!$A$2:$F$105,3,0),VLOOKUP(D364,Menu!$A$2:$F$105,4,0),VLOOKUP(D364,Menu!$A$2:$F$105,5,0),VLOOKUP(D364,Menu!$A$2:$F$105,6,0)),"N/A"))</f>
        <v>109</v>
      </c>
      <c r="H364" s="10">
        <f t="shared" si="2"/>
        <v>109</v>
      </c>
      <c r="I364" s="10">
        <f t="shared" si="3"/>
        <v>1395</v>
      </c>
      <c r="J364" s="1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9">
        <v>45218.0</v>
      </c>
      <c r="B365" s="10" t="str">
        <f t="shared" si="1"/>
        <v>Thursday</v>
      </c>
      <c r="C365" s="10" t="str">
        <f>IF(D365="","",VLOOKUP(D365,Menu!$A$2:$B$105,2,0))</f>
        <v>Pizza</v>
      </c>
      <c r="D365" s="10" t="s">
        <v>13</v>
      </c>
      <c r="E365" s="10" t="s">
        <v>4</v>
      </c>
      <c r="F365" s="10">
        <v>1.0</v>
      </c>
      <c r="G365" s="10">
        <f t="array" ref="G365">IF(OR(D365="",E365=""),"",IFERROR(CHOOSE(MATCH(E365,{"S","M","L","-"},0),VLOOKUP(D365,Menu!$A$2:$F$105,3,0),VLOOKUP(D365,Menu!$A$2:$F$105,4,0),VLOOKUP(D365,Menu!$A$2:$F$105,5,0),VLOOKUP(D365,Menu!$A$2:$F$105,6,0)),"N/A"))</f>
        <v>209</v>
      </c>
      <c r="H365" s="10">
        <f t="shared" si="2"/>
        <v>209</v>
      </c>
      <c r="I365" s="10">
        <f t="shared" si="3"/>
        <v>1395</v>
      </c>
      <c r="J365" s="1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9">
        <v>45218.0</v>
      </c>
      <c r="B366" s="10" t="str">
        <f t="shared" si="1"/>
        <v>Thursday</v>
      </c>
      <c r="C366" s="10" t="str">
        <f>IF(D366="","",VLOOKUP(D366,Menu!$A$2:$B$105,2,0))</f>
        <v>Pizza</v>
      </c>
      <c r="D366" s="10" t="s">
        <v>10</v>
      </c>
      <c r="E366" s="10" t="s">
        <v>2</v>
      </c>
      <c r="F366" s="10">
        <v>1.0</v>
      </c>
      <c r="G366" s="10">
        <f t="array" ref="G366">IF(OR(D366="",E366=""),"",IFERROR(CHOOSE(MATCH(E366,{"S","M","L","-"},0),VLOOKUP(D366,Menu!$A$2:$F$105,3,0),VLOOKUP(D366,Menu!$A$2:$F$105,4,0),VLOOKUP(D366,Menu!$A$2:$F$105,5,0),VLOOKUP(D366,Menu!$A$2:$F$105,6,0)),"N/A"))</f>
        <v>59</v>
      </c>
      <c r="H366" s="10">
        <f t="shared" si="2"/>
        <v>59</v>
      </c>
      <c r="I366" s="10">
        <f t="shared" si="3"/>
        <v>1395</v>
      </c>
      <c r="J366" s="1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9">
        <v>45218.0</v>
      </c>
      <c r="B367" s="10" t="str">
        <f t="shared" si="1"/>
        <v>Thursday</v>
      </c>
      <c r="C367" s="10" t="str">
        <f>IF(D367="","",VLOOKUP(D367,Menu!$A$2:$B$105,2,0))</f>
        <v>Pizza</v>
      </c>
      <c r="D367" s="10" t="s">
        <v>8</v>
      </c>
      <c r="E367" s="10" t="s">
        <v>2</v>
      </c>
      <c r="F367" s="10">
        <v>2.0</v>
      </c>
      <c r="G367" s="10">
        <f t="array" ref="G367">IF(OR(D367="",E367=""),"",IFERROR(CHOOSE(MATCH(E367,{"S","M","L","-"},0),VLOOKUP(D367,Menu!$A$2:$F$105,3,0),VLOOKUP(D367,Menu!$A$2:$F$105,4,0),VLOOKUP(D367,Menu!$A$2:$F$105,5,0),VLOOKUP(D367,Menu!$A$2:$F$105,6,0)),"N/A"))</f>
        <v>59</v>
      </c>
      <c r="H367" s="10">
        <f t="shared" si="2"/>
        <v>118</v>
      </c>
      <c r="I367" s="10">
        <f t="shared" si="3"/>
        <v>1395</v>
      </c>
      <c r="J367" s="1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9">
        <v>45218.0</v>
      </c>
      <c r="B368" s="10" t="str">
        <f t="shared" si="1"/>
        <v>Thursday</v>
      </c>
      <c r="C368" s="10" t="str">
        <f>IF(D368="","",VLOOKUP(D368,Menu!$A$2:$B$105,2,0))</f>
        <v>Burger</v>
      </c>
      <c r="D368" s="10" t="s">
        <v>27</v>
      </c>
      <c r="E368" s="10" t="s">
        <v>5</v>
      </c>
      <c r="F368" s="10">
        <v>2.0</v>
      </c>
      <c r="G368" s="10">
        <f t="array" ref="G368">IF(OR(D368="",E368=""),"",IFERROR(CHOOSE(MATCH(E368,{"S","M","L","-"},0),VLOOKUP(D368,Menu!$A$2:$F$105,3,0),VLOOKUP(D368,Menu!$A$2:$F$105,4,0),VLOOKUP(D368,Menu!$A$2:$F$105,5,0),VLOOKUP(D368,Menu!$A$2:$F$105,6,0)),"N/A"))</f>
        <v>39</v>
      </c>
      <c r="H368" s="10">
        <f t="shared" si="2"/>
        <v>78</v>
      </c>
      <c r="I368" s="10">
        <f t="shared" si="3"/>
        <v>1395</v>
      </c>
      <c r="J368" s="1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9">
        <v>45218.0</v>
      </c>
      <c r="B369" s="10" t="str">
        <f t="shared" si="1"/>
        <v>Thursday</v>
      </c>
      <c r="C369" s="10" t="str">
        <f>IF(D369="","",VLOOKUP(D369,Menu!$A$2:$B$105,2,0))</f>
        <v>Pizza</v>
      </c>
      <c r="D369" s="10" t="s">
        <v>15</v>
      </c>
      <c r="E369" s="10" t="s">
        <v>3</v>
      </c>
      <c r="F369" s="10">
        <v>1.0</v>
      </c>
      <c r="G369" s="10">
        <f t="array" ref="G369">IF(OR(D369="",E369=""),"",IFERROR(CHOOSE(MATCH(E369,{"S","M","L","-"},0),VLOOKUP(D369,Menu!$A$2:$F$105,3,0),VLOOKUP(D369,Menu!$A$2:$F$105,4,0),VLOOKUP(D369,Menu!$A$2:$F$105,5,0),VLOOKUP(D369,Menu!$A$2:$F$105,6,0)),"N/A"))</f>
        <v>149</v>
      </c>
      <c r="H369" s="10">
        <f t="shared" si="2"/>
        <v>149</v>
      </c>
      <c r="I369" s="10">
        <f t="shared" si="3"/>
        <v>1395</v>
      </c>
      <c r="J369" s="1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9">
        <v>45218.0</v>
      </c>
      <c r="B370" s="10" t="str">
        <f t="shared" si="1"/>
        <v>Thursday</v>
      </c>
      <c r="C370" s="10" t="str">
        <f>IF(D370="","",VLOOKUP(D370,Menu!$A$2:$B$105,2,0))</f>
        <v>Burger</v>
      </c>
      <c r="D370" s="10" t="s">
        <v>29</v>
      </c>
      <c r="E370" s="10" t="s">
        <v>5</v>
      </c>
      <c r="F370" s="10">
        <v>4.0</v>
      </c>
      <c r="G370" s="10">
        <f t="array" ref="G370">IF(OR(D370="",E370=""),"",IFERROR(CHOOSE(MATCH(E370,{"S","M","L","-"},0),VLOOKUP(D370,Menu!$A$2:$F$105,3,0),VLOOKUP(D370,Menu!$A$2:$F$105,4,0),VLOOKUP(D370,Menu!$A$2:$F$105,5,0),VLOOKUP(D370,Menu!$A$2:$F$105,6,0)),"N/A"))</f>
        <v>59</v>
      </c>
      <c r="H370" s="10">
        <f t="shared" si="2"/>
        <v>236</v>
      </c>
      <c r="I370" s="10">
        <f t="shared" si="3"/>
        <v>1395</v>
      </c>
      <c r="J370" s="10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9">
        <v>45218.0</v>
      </c>
      <c r="B371" s="10" t="str">
        <f t="shared" si="1"/>
        <v>Thursday</v>
      </c>
      <c r="C371" s="10" t="str">
        <f>IF(D371="","",VLOOKUP(D371,Menu!$A$2:$B$105,2,0))</f>
        <v>Beverage</v>
      </c>
      <c r="D371" s="10" t="s">
        <v>63</v>
      </c>
      <c r="E371" s="10" t="s">
        <v>5</v>
      </c>
      <c r="F371" s="10">
        <v>2.0</v>
      </c>
      <c r="G371" s="10">
        <f t="array" ref="G371">IF(OR(D371="",E371=""),"",IFERROR(CHOOSE(MATCH(E371,{"S","M","L","-"},0),VLOOKUP(D371,Menu!$A$2:$F$105,3,0),VLOOKUP(D371,Menu!$A$2:$F$105,4,0),VLOOKUP(D371,Menu!$A$2:$F$105,5,0),VLOOKUP(D371,Menu!$A$2:$F$105,6,0)),"N/A"))</f>
        <v>20</v>
      </c>
      <c r="H371" s="10">
        <f t="shared" si="2"/>
        <v>40</v>
      </c>
      <c r="I371" s="10">
        <f t="shared" si="3"/>
        <v>1395</v>
      </c>
      <c r="J371" s="10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9">
        <v>45218.0</v>
      </c>
      <c r="B372" s="10" t="str">
        <f t="shared" si="1"/>
        <v>Thursday</v>
      </c>
      <c r="C372" s="10" t="str">
        <f>IF(D372="","",VLOOKUP(D372,Menu!$A$2:$B$105,2,0))</f>
        <v>Dessert</v>
      </c>
      <c r="D372" s="10" t="s">
        <v>49</v>
      </c>
      <c r="E372" s="10" t="s">
        <v>5</v>
      </c>
      <c r="F372" s="10">
        <v>2.0</v>
      </c>
      <c r="G372" s="10">
        <f t="array" ref="G372">IF(OR(D372="",E372=""),"",IFERROR(CHOOSE(MATCH(E372,{"S","M","L","-"},0),VLOOKUP(D372,Menu!$A$2:$F$105,3,0),VLOOKUP(D372,Menu!$A$2:$F$105,4,0),VLOOKUP(D372,Menu!$A$2:$F$105,5,0),VLOOKUP(D372,Menu!$A$2:$F$105,6,0)),"N/A"))</f>
        <v>40</v>
      </c>
      <c r="H372" s="10">
        <f t="shared" si="2"/>
        <v>80</v>
      </c>
      <c r="I372" s="10">
        <f t="shared" si="3"/>
        <v>1395</v>
      </c>
      <c r="J372" s="1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2">
        <v>45219.0</v>
      </c>
      <c r="B373" s="13" t="str">
        <f t="shared" si="1"/>
        <v>Friday</v>
      </c>
      <c r="C373" s="13" t="str">
        <f>IF(D373="","",VLOOKUP(D373,Menu!$A$2:$B$105,2,0))</f>
        <v>Pizza</v>
      </c>
      <c r="D373" s="13" t="s">
        <v>24</v>
      </c>
      <c r="E373" s="13" t="s">
        <v>3</v>
      </c>
      <c r="F373" s="13">
        <v>1.0</v>
      </c>
      <c r="G373" s="13">
        <f t="array" ref="G373">IF(OR(D373="",E373=""),"",IFERROR(CHOOSE(MATCH(E373,{"S","M","L","-"},0),VLOOKUP(D373,Menu!$A$2:$F$105,3,0),VLOOKUP(D373,Menu!$A$2:$F$105,4,0),VLOOKUP(D373,Menu!$A$2:$F$105,5,0),VLOOKUP(D373,Menu!$A$2:$F$105,6,0)),"N/A"))</f>
        <v>249</v>
      </c>
      <c r="H373" s="13">
        <f t="shared" si="2"/>
        <v>249</v>
      </c>
      <c r="I373" s="13">
        <f t="shared" si="3"/>
        <v>2302</v>
      </c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2">
        <v>45219.0</v>
      </c>
      <c r="B374" s="13" t="str">
        <f t="shared" si="1"/>
        <v>Friday</v>
      </c>
      <c r="C374" s="13" t="str">
        <f>IF(D374="","",VLOOKUP(D374,Menu!$A$2:$B$105,2,0))</f>
        <v>Combo</v>
      </c>
      <c r="D374" s="13" t="s">
        <v>57</v>
      </c>
      <c r="E374" s="13" t="s">
        <v>5</v>
      </c>
      <c r="F374" s="13">
        <v>1.0</v>
      </c>
      <c r="G374" s="13">
        <f t="array" ref="G374">IF(OR(D374="",E374=""),"",IFERROR(CHOOSE(MATCH(E374,{"S","M","L","-"},0),VLOOKUP(D374,Menu!$A$2:$F$105,3,0),VLOOKUP(D374,Menu!$A$2:$F$105,4,0),VLOOKUP(D374,Menu!$A$2:$F$105,5,0),VLOOKUP(D374,Menu!$A$2:$F$105,6,0)),"N/A"))</f>
        <v>149</v>
      </c>
      <c r="H374" s="13">
        <f t="shared" si="2"/>
        <v>149</v>
      </c>
      <c r="I374" s="13">
        <f t="shared" si="3"/>
        <v>2302</v>
      </c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2">
        <v>45219.0</v>
      </c>
      <c r="B375" s="13" t="str">
        <f t="shared" si="1"/>
        <v>Friday</v>
      </c>
      <c r="C375" s="13" t="str">
        <f>IF(D375="","",VLOOKUP(D375,Menu!$A$2:$B$105,2,0))</f>
        <v>Pizza</v>
      </c>
      <c r="D375" s="13" t="s">
        <v>11</v>
      </c>
      <c r="E375" s="13" t="s">
        <v>2</v>
      </c>
      <c r="F375" s="13">
        <v>3.0</v>
      </c>
      <c r="G375" s="13">
        <f t="array" ref="G375">IF(OR(D375="",E375=""),"",IFERROR(CHOOSE(MATCH(E375,{"S","M","L","-"},0),VLOOKUP(D375,Menu!$A$2:$F$105,3,0),VLOOKUP(D375,Menu!$A$2:$F$105,4,0),VLOOKUP(D375,Menu!$A$2:$F$105,5,0),VLOOKUP(D375,Menu!$A$2:$F$105,6,0)),"N/A"))</f>
        <v>69</v>
      </c>
      <c r="H375" s="13">
        <f t="shared" si="2"/>
        <v>207</v>
      </c>
      <c r="I375" s="13">
        <f t="shared" si="3"/>
        <v>2302</v>
      </c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2">
        <v>45219.0</v>
      </c>
      <c r="B376" s="13" t="str">
        <f t="shared" si="1"/>
        <v>Friday</v>
      </c>
      <c r="C376" s="13" t="str">
        <f>IF(D376="","",VLOOKUP(D376,Menu!$A$2:$B$105,2,0))</f>
        <v>Pizza</v>
      </c>
      <c r="D376" s="13" t="s">
        <v>21</v>
      </c>
      <c r="E376" s="13" t="s">
        <v>4</v>
      </c>
      <c r="F376" s="13">
        <v>1.0</v>
      </c>
      <c r="G376" s="13">
        <f t="array" ref="G376">IF(OR(D376="",E376=""),"",IFERROR(CHOOSE(MATCH(E376,{"S","M","L","-"},0),VLOOKUP(D376,Menu!$A$2:$F$105,3,0),VLOOKUP(D376,Menu!$A$2:$F$105,4,0),VLOOKUP(D376,Menu!$A$2:$F$105,5,0),VLOOKUP(D376,Menu!$A$2:$F$105,6,0)),"N/A"))</f>
        <v>299</v>
      </c>
      <c r="H376" s="13">
        <f t="shared" si="2"/>
        <v>299</v>
      </c>
      <c r="I376" s="13">
        <f t="shared" si="3"/>
        <v>2302</v>
      </c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2">
        <v>45219.0</v>
      </c>
      <c r="B377" s="13" t="str">
        <f t="shared" si="1"/>
        <v>Friday</v>
      </c>
      <c r="C377" s="13" t="str">
        <f>IF(D377="","",VLOOKUP(D377,Menu!$A$2:$B$105,2,0))</f>
        <v>Beverage</v>
      </c>
      <c r="D377" s="13" t="s">
        <v>63</v>
      </c>
      <c r="E377" s="13" t="s">
        <v>5</v>
      </c>
      <c r="F377" s="13">
        <v>4.0</v>
      </c>
      <c r="G377" s="13">
        <f t="array" ref="G377">IF(OR(D377="",E377=""),"",IFERROR(CHOOSE(MATCH(E377,{"S","M","L","-"},0),VLOOKUP(D377,Menu!$A$2:$F$105,3,0),VLOOKUP(D377,Menu!$A$2:$F$105,4,0),VLOOKUP(D377,Menu!$A$2:$F$105,5,0),VLOOKUP(D377,Menu!$A$2:$F$105,6,0)),"N/A"))</f>
        <v>20</v>
      </c>
      <c r="H377" s="13">
        <f t="shared" si="2"/>
        <v>80</v>
      </c>
      <c r="I377" s="13">
        <f t="shared" si="3"/>
        <v>2302</v>
      </c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2">
        <v>45219.0</v>
      </c>
      <c r="B378" s="13" t="str">
        <f t="shared" si="1"/>
        <v>Friday</v>
      </c>
      <c r="C378" s="13" t="str">
        <f>IF(D378="","",VLOOKUP(D378,Menu!$A$2:$B$105,2,0))</f>
        <v>Pizza</v>
      </c>
      <c r="D378" s="13" t="s">
        <v>16</v>
      </c>
      <c r="E378" s="13" t="s">
        <v>3</v>
      </c>
      <c r="F378" s="13">
        <v>1.0</v>
      </c>
      <c r="G378" s="13">
        <f t="array" ref="G378">IF(OR(D378="",E378=""),"",IFERROR(CHOOSE(MATCH(E378,{"S","M","L","-"},0),VLOOKUP(D378,Menu!$A$2:$F$105,3,0),VLOOKUP(D378,Menu!$A$2:$F$105,4,0),VLOOKUP(D378,Menu!$A$2:$F$105,5,0),VLOOKUP(D378,Menu!$A$2:$F$105,6,0)),"N/A"))</f>
        <v>199</v>
      </c>
      <c r="H378" s="13">
        <f t="shared" si="2"/>
        <v>199</v>
      </c>
      <c r="I378" s="13">
        <f t="shared" si="3"/>
        <v>2302</v>
      </c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2">
        <v>45219.0</v>
      </c>
      <c r="B379" s="13" t="str">
        <f t="shared" si="1"/>
        <v>Friday</v>
      </c>
      <c r="C379" s="13" t="str">
        <f>IF(D379="","",VLOOKUP(D379,Menu!$A$2:$B$105,2,0))</f>
        <v>Pizza</v>
      </c>
      <c r="D379" s="13" t="s">
        <v>8</v>
      </c>
      <c r="E379" s="13" t="s">
        <v>2</v>
      </c>
      <c r="F379" s="13">
        <v>1.0</v>
      </c>
      <c r="G379" s="13">
        <f t="array" ref="G379">IF(OR(D379="",E379=""),"",IFERROR(CHOOSE(MATCH(E379,{"S","M","L","-"},0),VLOOKUP(D379,Menu!$A$2:$F$105,3,0),VLOOKUP(D379,Menu!$A$2:$F$105,4,0),VLOOKUP(D379,Menu!$A$2:$F$105,5,0),VLOOKUP(D379,Menu!$A$2:$F$105,6,0)),"N/A"))</f>
        <v>59</v>
      </c>
      <c r="H379" s="13">
        <f t="shared" si="2"/>
        <v>59</v>
      </c>
      <c r="I379" s="13">
        <f t="shared" si="3"/>
        <v>2302</v>
      </c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2">
        <v>45219.0</v>
      </c>
      <c r="B380" s="13" t="str">
        <f t="shared" si="1"/>
        <v>Friday</v>
      </c>
      <c r="C380" s="13" t="str">
        <f>IF(D380="","",VLOOKUP(D380,Menu!$A$2:$B$105,2,0))</f>
        <v>Pizza</v>
      </c>
      <c r="D380" s="13" t="s">
        <v>15</v>
      </c>
      <c r="E380" s="13" t="s">
        <v>2</v>
      </c>
      <c r="F380" s="13">
        <v>10.0</v>
      </c>
      <c r="G380" s="13">
        <f t="array" ref="G380">IF(OR(D380="",E380=""),"",IFERROR(CHOOSE(MATCH(E380,{"S","M","L","-"},0),VLOOKUP(D380,Menu!$A$2:$F$105,3,0),VLOOKUP(D380,Menu!$A$2:$F$105,4,0),VLOOKUP(D380,Menu!$A$2:$F$105,5,0),VLOOKUP(D380,Menu!$A$2:$F$105,6,0)),"N/A"))</f>
        <v>99</v>
      </c>
      <c r="H380" s="13">
        <f t="shared" si="2"/>
        <v>990</v>
      </c>
      <c r="I380" s="13">
        <f t="shared" si="3"/>
        <v>2302</v>
      </c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2">
        <v>45219.0</v>
      </c>
      <c r="B381" s="13" t="str">
        <f t="shared" si="1"/>
        <v>Friday</v>
      </c>
      <c r="C381" s="13" t="str">
        <f>IF(D381="","",VLOOKUP(D381,Menu!$A$2:$B$105,2,0))</f>
        <v>Dessert</v>
      </c>
      <c r="D381" s="13" t="s">
        <v>53</v>
      </c>
      <c r="E381" s="13" t="s">
        <v>5</v>
      </c>
      <c r="F381" s="13">
        <v>1.0</v>
      </c>
      <c r="G381" s="13">
        <f t="array" ref="G381">IF(OR(D381="",E381=""),"",IFERROR(CHOOSE(MATCH(E381,{"S","M","L","-"},0),VLOOKUP(D381,Menu!$A$2:$F$105,3,0),VLOOKUP(D381,Menu!$A$2:$F$105,4,0),VLOOKUP(D381,Menu!$A$2:$F$105,5,0),VLOOKUP(D381,Menu!$A$2:$F$105,6,0)),"N/A"))</f>
        <v>30</v>
      </c>
      <c r="H381" s="13">
        <f t="shared" si="2"/>
        <v>30</v>
      </c>
      <c r="I381" s="13">
        <f t="shared" si="3"/>
        <v>2302</v>
      </c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2">
        <v>45219.0</v>
      </c>
      <c r="B382" s="13" t="str">
        <f t="shared" si="1"/>
        <v>Friday</v>
      </c>
      <c r="C382" s="13" t="str">
        <f>IF(D382="","",VLOOKUP(D382,Menu!$A$2:$B$105,2,0))</f>
        <v>Dessert</v>
      </c>
      <c r="D382" s="13" t="s">
        <v>49</v>
      </c>
      <c r="E382" s="13" t="s">
        <v>5</v>
      </c>
      <c r="F382" s="13">
        <v>1.0</v>
      </c>
      <c r="G382" s="13">
        <f t="array" ref="G382">IF(OR(D382="",E382=""),"",IFERROR(CHOOSE(MATCH(E382,{"S","M","L","-"},0),VLOOKUP(D382,Menu!$A$2:$F$105,3,0),VLOOKUP(D382,Menu!$A$2:$F$105,4,0),VLOOKUP(D382,Menu!$A$2:$F$105,5,0),VLOOKUP(D382,Menu!$A$2:$F$105,6,0)),"N/A"))</f>
        <v>40</v>
      </c>
      <c r="H382" s="13">
        <f t="shared" si="2"/>
        <v>40</v>
      </c>
      <c r="I382" s="13">
        <f t="shared" si="3"/>
        <v>2302</v>
      </c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9">
        <v>45220.0</v>
      </c>
      <c r="B383" s="10" t="str">
        <f t="shared" si="1"/>
        <v>Saturday</v>
      </c>
      <c r="C383" s="10" t="str">
        <f>IF(D383="","",VLOOKUP(D383,Menu!$A$2:$B$105,2,0))</f>
        <v>Dessert</v>
      </c>
      <c r="D383" s="10" t="s">
        <v>56</v>
      </c>
      <c r="E383" s="10" t="s">
        <v>5</v>
      </c>
      <c r="F383" s="10">
        <v>1.0</v>
      </c>
      <c r="G383" s="10">
        <f t="array" ref="G383">IF(OR(D383="",E383=""),"",IFERROR(CHOOSE(MATCH(E383,{"S","M","L","-"},0),VLOOKUP(D383,Menu!$A$2:$F$105,3,0),VLOOKUP(D383,Menu!$A$2:$F$105,4,0),VLOOKUP(D383,Menu!$A$2:$F$105,5,0),VLOOKUP(D383,Menu!$A$2:$F$105,6,0)),"N/A"))</f>
        <v>110</v>
      </c>
      <c r="H383" s="10">
        <f t="shared" si="2"/>
        <v>110</v>
      </c>
      <c r="I383" s="10">
        <f t="shared" si="3"/>
        <v>1337</v>
      </c>
      <c r="J383" s="10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9">
        <v>45220.0</v>
      </c>
      <c r="B384" s="10" t="str">
        <f t="shared" si="1"/>
        <v>Saturday</v>
      </c>
      <c r="C384" s="10" t="str">
        <f>IF(D384="","",VLOOKUP(D384,Menu!$A$2:$B$105,2,0))</f>
        <v>Beverage</v>
      </c>
      <c r="D384" s="10" t="s">
        <v>63</v>
      </c>
      <c r="E384" s="10" t="s">
        <v>5</v>
      </c>
      <c r="F384" s="10">
        <v>4.0</v>
      </c>
      <c r="G384" s="10">
        <f t="array" ref="G384">IF(OR(D384="",E384=""),"",IFERROR(CHOOSE(MATCH(E384,{"S","M","L","-"},0),VLOOKUP(D384,Menu!$A$2:$F$105,3,0),VLOOKUP(D384,Menu!$A$2:$F$105,4,0),VLOOKUP(D384,Menu!$A$2:$F$105,5,0),VLOOKUP(D384,Menu!$A$2:$F$105,6,0)),"N/A"))</f>
        <v>20</v>
      </c>
      <c r="H384" s="10">
        <f t="shared" si="2"/>
        <v>80</v>
      </c>
      <c r="I384" s="10">
        <f t="shared" si="3"/>
        <v>1337</v>
      </c>
      <c r="J384" s="10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9">
        <v>45220.0</v>
      </c>
      <c r="B385" s="10" t="str">
        <f t="shared" si="1"/>
        <v>Saturday</v>
      </c>
      <c r="C385" s="10" t="str">
        <f>IF(D385="","",VLOOKUP(D385,Menu!$A$2:$B$105,2,0))</f>
        <v>Pizza</v>
      </c>
      <c r="D385" s="10" t="s">
        <v>8</v>
      </c>
      <c r="E385" s="10" t="s">
        <v>2</v>
      </c>
      <c r="F385" s="10">
        <v>2.0</v>
      </c>
      <c r="G385" s="10">
        <f t="array" ref="G385">IF(OR(D385="",E385=""),"",IFERROR(CHOOSE(MATCH(E385,{"S","M","L","-"},0),VLOOKUP(D385,Menu!$A$2:$F$105,3,0),VLOOKUP(D385,Menu!$A$2:$F$105,4,0),VLOOKUP(D385,Menu!$A$2:$F$105,5,0),VLOOKUP(D385,Menu!$A$2:$F$105,6,0)),"N/A"))</f>
        <v>59</v>
      </c>
      <c r="H385" s="10">
        <f t="shared" si="2"/>
        <v>118</v>
      </c>
      <c r="I385" s="10">
        <f t="shared" si="3"/>
        <v>1337</v>
      </c>
      <c r="J385" s="10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9">
        <v>45220.0</v>
      </c>
      <c r="B386" s="10" t="str">
        <f t="shared" si="1"/>
        <v>Saturday</v>
      </c>
      <c r="C386" s="10" t="str">
        <f>IF(D386="","",VLOOKUP(D386,Menu!$A$2:$B$105,2,0))</f>
        <v>Pizza</v>
      </c>
      <c r="D386" s="10" t="s">
        <v>9</v>
      </c>
      <c r="E386" s="10" t="s">
        <v>2</v>
      </c>
      <c r="F386" s="10">
        <v>1.0</v>
      </c>
      <c r="G386" s="10">
        <f t="array" ref="G386">IF(OR(D386="",E386=""),"",IFERROR(CHOOSE(MATCH(E386,{"S","M","L","-"},0),VLOOKUP(D386,Menu!$A$2:$F$105,3,0),VLOOKUP(D386,Menu!$A$2:$F$105,4,0),VLOOKUP(D386,Menu!$A$2:$F$105,5,0),VLOOKUP(D386,Menu!$A$2:$F$105,6,0)),"N/A"))</f>
        <v>59</v>
      </c>
      <c r="H386" s="10">
        <f t="shared" si="2"/>
        <v>59</v>
      </c>
      <c r="I386" s="10">
        <f t="shared" si="3"/>
        <v>1337</v>
      </c>
      <c r="J386" s="10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9">
        <v>45220.0</v>
      </c>
      <c r="B387" s="10" t="str">
        <f t="shared" si="1"/>
        <v>Saturday</v>
      </c>
      <c r="C387" s="10" t="str">
        <f>IF(D387="","",VLOOKUP(D387,Menu!$A$2:$B$105,2,0))</f>
        <v>Pizza</v>
      </c>
      <c r="D387" s="10" t="s">
        <v>15</v>
      </c>
      <c r="E387" s="10" t="s">
        <v>2</v>
      </c>
      <c r="F387" s="10">
        <v>2.0</v>
      </c>
      <c r="G387" s="10">
        <f t="array" ref="G387">IF(OR(D387="",E387=""),"",IFERROR(CHOOSE(MATCH(E387,{"S","M","L","-"},0),VLOOKUP(D387,Menu!$A$2:$F$105,3,0),VLOOKUP(D387,Menu!$A$2:$F$105,4,0),VLOOKUP(D387,Menu!$A$2:$F$105,5,0),VLOOKUP(D387,Menu!$A$2:$F$105,6,0)),"N/A"))</f>
        <v>99</v>
      </c>
      <c r="H387" s="10">
        <f t="shared" si="2"/>
        <v>198</v>
      </c>
      <c r="I387" s="10">
        <f t="shared" si="3"/>
        <v>1337</v>
      </c>
      <c r="J387" s="10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9">
        <v>45220.0</v>
      </c>
      <c r="B388" s="10" t="str">
        <f t="shared" si="1"/>
        <v>Saturday</v>
      </c>
      <c r="C388" s="10" t="str">
        <f>IF(D388="","",VLOOKUP(D388,Menu!$A$2:$B$105,2,0))</f>
        <v>Pizza</v>
      </c>
      <c r="D388" s="10" t="s">
        <v>11</v>
      </c>
      <c r="E388" s="10" t="s">
        <v>3</v>
      </c>
      <c r="F388" s="10">
        <v>1.0</v>
      </c>
      <c r="G388" s="10">
        <f t="array" ref="G388">IF(OR(D388="",E388=""),"",IFERROR(CHOOSE(MATCH(E388,{"S","M","L","-"},0),VLOOKUP(D388,Menu!$A$2:$F$105,3,0),VLOOKUP(D388,Menu!$A$2:$F$105,4,0),VLOOKUP(D388,Menu!$A$2:$F$105,5,0),VLOOKUP(D388,Menu!$A$2:$F$105,6,0)),"N/A"))</f>
        <v>109</v>
      </c>
      <c r="H388" s="10">
        <f t="shared" si="2"/>
        <v>109</v>
      </c>
      <c r="I388" s="10">
        <f t="shared" si="3"/>
        <v>1337</v>
      </c>
      <c r="J388" s="10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9">
        <v>45220.0</v>
      </c>
      <c r="B389" s="10" t="str">
        <f t="shared" si="1"/>
        <v>Saturday</v>
      </c>
      <c r="C389" s="10" t="str">
        <f>IF(D389="","",VLOOKUP(D389,Menu!$A$2:$B$105,2,0))</f>
        <v>Burger</v>
      </c>
      <c r="D389" s="10" t="s">
        <v>27</v>
      </c>
      <c r="E389" s="10" t="s">
        <v>5</v>
      </c>
      <c r="F389" s="10">
        <v>3.0</v>
      </c>
      <c r="G389" s="10">
        <f t="array" ref="G389">IF(OR(D389="",E389=""),"",IFERROR(CHOOSE(MATCH(E389,{"S","M","L","-"},0),VLOOKUP(D389,Menu!$A$2:$F$105,3,0),VLOOKUP(D389,Menu!$A$2:$F$105,4,0),VLOOKUP(D389,Menu!$A$2:$F$105,5,0),VLOOKUP(D389,Menu!$A$2:$F$105,6,0)),"N/A"))</f>
        <v>39</v>
      </c>
      <c r="H389" s="10">
        <f t="shared" si="2"/>
        <v>117</v>
      </c>
      <c r="I389" s="10">
        <f t="shared" si="3"/>
        <v>1337</v>
      </c>
      <c r="J389" s="10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9">
        <v>45220.0</v>
      </c>
      <c r="B390" s="10" t="str">
        <f t="shared" si="1"/>
        <v>Saturday</v>
      </c>
      <c r="C390" s="10" t="str">
        <f>IF(D390="","",VLOOKUP(D390,Menu!$A$2:$B$105,2,0))</f>
        <v>Pizza</v>
      </c>
      <c r="D390" s="10" t="s">
        <v>11</v>
      </c>
      <c r="E390" s="10" t="s">
        <v>2</v>
      </c>
      <c r="F390" s="10">
        <v>1.0</v>
      </c>
      <c r="G390" s="10">
        <f t="array" ref="G390">IF(OR(D390="",E390=""),"",IFERROR(CHOOSE(MATCH(E390,{"S","M","L","-"},0),VLOOKUP(D390,Menu!$A$2:$F$105,3,0),VLOOKUP(D390,Menu!$A$2:$F$105,4,0),VLOOKUP(D390,Menu!$A$2:$F$105,5,0),VLOOKUP(D390,Menu!$A$2:$F$105,6,0)),"N/A"))</f>
        <v>69</v>
      </c>
      <c r="H390" s="10">
        <f t="shared" si="2"/>
        <v>69</v>
      </c>
      <c r="I390" s="10">
        <f t="shared" si="3"/>
        <v>1337</v>
      </c>
      <c r="J390" s="10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9">
        <v>45220.0</v>
      </c>
      <c r="B391" s="10" t="str">
        <f t="shared" si="1"/>
        <v>Saturday</v>
      </c>
      <c r="C391" s="10" t="str">
        <f>IF(D391="","",VLOOKUP(D391,Menu!$A$2:$B$105,2,0))</f>
        <v>Pizza</v>
      </c>
      <c r="D391" s="10" t="s">
        <v>18</v>
      </c>
      <c r="E391" s="10" t="s">
        <v>2</v>
      </c>
      <c r="F391" s="10">
        <v>1.0</v>
      </c>
      <c r="G391" s="10">
        <f t="array" ref="G391">IF(OR(D391="",E391=""),"",IFERROR(CHOOSE(MATCH(E391,{"S","M","L","-"},0),VLOOKUP(D391,Menu!$A$2:$F$105,3,0),VLOOKUP(D391,Menu!$A$2:$F$105,4,0),VLOOKUP(D391,Menu!$A$2:$F$105,5,0),VLOOKUP(D391,Menu!$A$2:$F$105,6,0)),"N/A"))</f>
        <v>109</v>
      </c>
      <c r="H391" s="10">
        <f t="shared" si="2"/>
        <v>109</v>
      </c>
      <c r="I391" s="10">
        <f t="shared" si="3"/>
        <v>1337</v>
      </c>
      <c r="J391" s="1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9">
        <v>45220.0</v>
      </c>
      <c r="B392" s="10" t="str">
        <f t="shared" si="1"/>
        <v>Saturday</v>
      </c>
      <c r="C392" s="10" t="str">
        <f>IF(D392="","",VLOOKUP(D392,Menu!$A$2:$B$105,2,0))</f>
        <v>Dessert</v>
      </c>
      <c r="D392" s="10" t="s">
        <v>53</v>
      </c>
      <c r="E392" s="10" t="s">
        <v>5</v>
      </c>
      <c r="F392" s="10">
        <v>1.0</v>
      </c>
      <c r="G392" s="10">
        <f t="array" ref="G392">IF(OR(D392="",E392=""),"",IFERROR(CHOOSE(MATCH(E392,{"S","M","L","-"},0),VLOOKUP(D392,Menu!$A$2:$F$105,3,0),VLOOKUP(D392,Menu!$A$2:$F$105,4,0),VLOOKUP(D392,Menu!$A$2:$F$105,5,0),VLOOKUP(D392,Menu!$A$2:$F$105,6,0)),"N/A"))</f>
        <v>30</v>
      </c>
      <c r="H392" s="10">
        <f t="shared" si="2"/>
        <v>30</v>
      </c>
      <c r="I392" s="10">
        <f t="shared" si="3"/>
        <v>1337</v>
      </c>
      <c r="J392" s="1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9">
        <v>45220.0</v>
      </c>
      <c r="B393" s="10" t="str">
        <f t="shared" si="1"/>
        <v>Saturday</v>
      </c>
      <c r="C393" s="10" t="str">
        <f>IF(D393="","",VLOOKUP(D393,Menu!$A$2:$B$105,2,0))</f>
        <v>Pizza</v>
      </c>
      <c r="D393" s="10" t="s">
        <v>26</v>
      </c>
      <c r="E393" s="10" t="s">
        <v>5</v>
      </c>
      <c r="F393" s="10">
        <v>1.0</v>
      </c>
      <c r="G393" s="10">
        <f t="array" ref="G393">IF(OR(D393="",E393=""),"",IFERROR(CHOOSE(MATCH(E393,{"S","M","L","-"},0),VLOOKUP(D393,Menu!$A$2:$F$105,3,0),VLOOKUP(D393,Menu!$A$2:$F$105,4,0),VLOOKUP(D393,Menu!$A$2:$F$105,5,0),VLOOKUP(D393,Menu!$A$2:$F$105,6,0)),"N/A"))</f>
        <v>99</v>
      </c>
      <c r="H393" s="10">
        <f t="shared" si="2"/>
        <v>99</v>
      </c>
      <c r="I393" s="10">
        <f t="shared" si="3"/>
        <v>1337</v>
      </c>
      <c r="J393" s="1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9">
        <v>45220.0</v>
      </c>
      <c r="B394" s="10" t="str">
        <f t="shared" si="1"/>
        <v>Saturday</v>
      </c>
      <c r="C394" s="10" t="str">
        <f>IF(D394="","",VLOOKUP(D394,Menu!$A$2:$B$105,2,0))</f>
        <v>Dessert</v>
      </c>
      <c r="D394" s="10" t="s">
        <v>49</v>
      </c>
      <c r="E394" s="10" t="s">
        <v>5</v>
      </c>
      <c r="F394" s="10">
        <v>1.0</v>
      </c>
      <c r="G394" s="10">
        <f t="array" ref="G394">IF(OR(D394="",E394=""),"",IFERROR(CHOOSE(MATCH(E394,{"S","M","L","-"},0),VLOOKUP(D394,Menu!$A$2:$F$105,3,0),VLOOKUP(D394,Menu!$A$2:$F$105,4,0),VLOOKUP(D394,Menu!$A$2:$F$105,5,0),VLOOKUP(D394,Menu!$A$2:$F$105,6,0)),"N/A"))</f>
        <v>40</v>
      </c>
      <c r="H394" s="10">
        <f t="shared" si="2"/>
        <v>40</v>
      </c>
      <c r="I394" s="10">
        <f t="shared" si="3"/>
        <v>1337</v>
      </c>
      <c r="J394" s="1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9">
        <v>45220.0</v>
      </c>
      <c r="B395" s="10" t="str">
        <f t="shared" si="1"/>
        <v>Saturday</v>
      </c>
      <c r="C395" s="10" t="str">
        <f>IF(D395="","",VLOOKUP(D395,Menu!$A$2:$B$105,2,0))</f>
        <v>Pizza</v>
      </c>
      <c r="D395" s="10" t="s">
        <v>17</v>
      </c>
      <c r="E395" s="10" t="s">
        <v>3</v>
      </c>
      <c r="F395" s="10">
        <v>1.0</v>
      </c>
      <c r="G395" s="10">
        <f t="array" ref="G395">IF(OR(D395="",E395=""),"",IFERROR(CHOOSE(MATCH(E395,{"S","M","L","-"},0),VLOOKUP(D395,Menu!$A$2:$F$105,3,0),VLOOKUP(D395,Menu!$A$2:$F$105,4,0),VLOOKUP(D395,Menu!$A$2:$F$105,5,0),VLOOKUP(D395,Menu!$A$2:$F$105,6,0)),"N/A"))</f>
        <v>199</v>
      </c>
      <c r="H395" s="10">
        <f t="shared" si="2"/>
        <v>199</v>
      </c>
      <c r="I395" s="10">
        <f t="shared" si="3"/>
        <v>1337</v>
      </c>
      <c r="J395" s="1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2">
        <v>45221.0</v>
      </c>
      <c r="B396" s="13" t="str">
        <f t="shared" si="1"/>
        <v>Sunday</v>
      </c>
      <c r="C396" s="13" t="str">
        <f>IF(D396="","",VLOOKUP(D396,Menu!$A$2:$B$105,2,0))</f>
        <v>Pizza</v>
      </c>
      <c r="D396" s="13" t="s">
        <v>8</v>
      </c>
      <c r="E396" s="13" t="s">
        <v>2</v>
      </c>
      <c r="F396" s="13">
        <v>2.0</v>
      </c>
      <c r="G396" s="13">
        <f t="array" ref="G396">IF(OR(D396="",E396=""),"",IFERROR(CHOOSE(MATCH(E396,{"S","M","L","-"},0),VLOOKUP(D396,Menu!$A$2:$F$105,3,0),VLOOKUP(D396,Menu!$A$2:$F$105,4,0),VLOOKUP(D396,Menu!$A$2:$F$105,5,0),VLOOKUP(D396,Menu!$A$2:$F$105,6,0)),"N/A"))</f>
        <v>59</v>
      </c>
      <c r="H396" s="13">
        <f t="shared" si="2"/>
        <v>118</v>
      </c>
      <c r="I396" s="13">
        <f t="shared" si="3"/>
        <v>1458</v>
      </c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2">
        <v>45221.0</v>
      </c>
      <c r="B397" s="13" t="str">
        <f t="shared" si="1"/>
        <v>Sunday</v>
      </c>
      <c r="C397" s="13" t="str">
        <f>IF(D397="","",VLOOKUP(D397,Menu!$A$2:$B$105,2,0))</f>
        <v>Burger</v>
      </c>
      <c r="D397" s="13" t="s">
        <v>27</v>
      </c>
      <c r="E397" s="13" t="s">
        <v>5</v>
      </c>
      <c r="F397" s="13">
        <v>4.0</v>
      </c>
      <c r="G397" s="13">
        <f t="array" ref="G397">IF(OR(D397="",E397=""),"",IFERROR(CHOOSE(MATCH(E397,{"S","M","L","-"},0),VLOOKUP(D397,Menu!$A$2:$F$105,3,0),VLOOKUP(D397,Menu!$A$2:$F$105,4,0),VLOOKUP(D397,Menu!$A$2:$F$105,5,0),VLOOKUP(D397,Menu!$A$2:$F$105,6,0)),"N/A"))</f>
        <v>39</v>
      </c>
      <c r="H397" s="13">
        <f t="shared" si="2"/>
        <v>156</v>
      </c>
      <c r="I397" s="13">
        <f t="shared" si="3"/>
        <v>1458</v>
      </c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2">
        <v>45221.0</v>
      </c>
      <c r="B398" s="13" t="str">
        <f t="shared" si="1"/>
        <v>Sunday</v>
      </c>
      <c r="C398" s="13" t="str">
        <f>IF(D398="","",VLOOKUP(D398,Menu!$A$2:$B$105,2,0))</f>
        <v>Pizza</v>
      </c>
      <c r="D398" s="13" t="s">
        <v>11</v>
      </c>
      <c r="E398" s="13" t="s">
        <v>2</v>
      </c>
      <c r="F398" s="13">
        <v>1.0</v>
      </c>
      <c r="G398" s="13">
        <f t="array" ref="G398">IF(OR(D398="",E398=""),"",IFERROR(CHOOSE(MATCH(E398,{"S","M","L","-"},0),VLOOKUP(D398,Menu!$A$2:$F$105,3,0),VLOOKUP(D398,Menu!$A$2:$F$105,4,0),VLOOKUP(D398,Menu!$A$2:$F$105,5,0),VLOOKUP(D398,Menu!$A$2:$F$105,6,0)),"N/A"))</f>
        <v>69</v>
      </c>
      <c r="H398" s="13">
        <f t="shared" si="2"/>
        <v>69</v>
      </c>
      <c r="I398" s="13">
        <f t="shared" si="3"/>
        <v>1458</v>
      </c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2">
        <v>45221.0</v>
      </c>
      <c r="B399" s="13" t="str">
        <f t="shared" si="1"/>
        <v>Sunday</v>
      </c>
      <c r="C399" s="13" t="str">
        <f>IF(D399="","",VLOOKUP(D399,Menu!$A$2:$B$105,2,0))</f>
        <v>Pizza</v>
      </c>
      <c r="D399" s="13" t="s">
        <v>23</v>
      </c>
      <c r="E399" s="13" t="s">
        <v>3</v>
      </c>
      <c r="F399" s="13">
        <v>1.0</v>
      </c>
      <c r="G399" s="13">
        <f t="array" ref="G399">IF(OR(D399="",E399=""),"",IFERROR(CHOOSE(MATCH(E399,{"S","M","L","-"},0),VLOOKUP(D399,Menu!$A$2:$F$105,3,0),VLOOKUP(D399,Menu!$A$2:$F$105,4,0),VLOOKUP(D399,Menu!$A$2:$F$105,5,0),VLOOKUP(D399,Menu!$A$2:$F$105,6,0)),"N/A"))</f>
        <v>230</v>
      </c>
      <c r="H399" s="13">
        <f t="shared" si="2"/>
        <v>230</v>
      </c>
      <c r="I399" s="13">
        <f t="shared" si="3"/>
        <v>1458</v>
      </c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2">
        <v>45221.0</v>
      </c>
      <c r="B400" s="13" t="str">
        <f t="shared" si="1"/>
        <v>Sunday</v>
      </c>
      <c r="C400" s="13" t="str">
        <f>IF(D400="","",VLOOKUP(D400,Menu!$A$2:$B$105,2,0))</f>
        <v>Pizza</v>
      </c>
      <c r="D400" s="13" t="s">
        <v>17</v>
      </c>
      <c r="E400" s="13" t="s">
        <v>3</v>
      </c>
      <c r="F400" s="13">
        <v>1.0</v>
      </c>
      <c r="G400" s="13">
        <f t="array" ref="G400">IF(OR(D400="",E400=""),"",IFERROR(CHOOSE(MATCH(E400,{"S","M","L","-"},0),VLOOKUP(D400,Menu!$A$2:$F$105,3,0),VLOOKUP(D400,Menu!$A$2:$F$105,4,0),VLOOKUP(D400,Menu!$A$2:$F$105,5,0),VLOOKUP(D400,Menu!$A$2:$F$105,6,0)),"N/A"))</f>
        <v>199</v>
      </c>
      <c r="H400" s="13">
        <f t="shared" si="2"/>
        <v>199</v>
      </c>
      <c r="I400" s="13">
        <f t="shared" si="3"/>
        <v>1458</v>
      </c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2">
        <v>45221.0</v>
      </c>
      <c r="B401" s="13" t="str">
        <f t="shared" si="1"/>
        <v>Sunday</v>
      </c>
      <c r="C401" s="13" t="str">
        <f>IF(D401="","",VLOOKUP(D401,Menu!$A$2:$B$105,2,0))</f>
        <v>Pizza</v>
      </c>
      <c r="D401" s="13" t="s">
        <v>15</v>
      </c>
      <c r="E401" s="13" t="s">
        <v>2</v>
      </c>
      <c r="F401" s="13">
        <v>1.0</v>
      </c>
      <c r="G401" s="13">
        <f t="array" ref="G401">IF(OR(D401="",E401=""),"",IFERROR(CHOOSE(MATCH(E401,{"S","M","L","-"},0),VLOOKUP(D401,Menu!$A$2:$F$105,3,0),VLOOKUP(D401,Menu!$A$2:$F$105,4,0),VLOOKUP(D401,Menu!$A$2:$F$105,5,0),VLOOKUP(D401,Menu!$A$2:$F$105,6,0)),"N/A"))</f>
        <v>99</v>
      </c>
      <c r="H401" s="13">
        <f t="shared" si="2"/>
        <v>99</v>
      </c>
      <c r="I401" s="13">
        <f t="shared" si="3"/>
        <v>1458</v>
      </c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2">
        <v>45221.0</v>
      </c>
      <c r="B402" s="13" t="str">
        <f t="shared" si="1"/>
        <v>Sunday</v>
      </c>
      <c r="C402" s="13" t="str">
        <f>IF(D402="","",VLOOKUP(D402,Menu!$A$2:$B$105,2,0))</f>
        <v>Pizza</v>
      </c>
      <c r="D402" s="13" t="s">
        <v>18</v>
      </c>
      <c r="E402" s="13" t="s">
        <v>2</v>
      </c>
      <c r="F402" s="13">
        <v>2.0</v>
      </c>
      <c r="G402" s="13">
        <f t="array" ref="G402">IF(OR(D402="",E402=""),"",IFERROR(CHOOSE(MATCH(E402,{"S","M","L","-"},0),VLOOKUP(D402,Menu!$A$2:$F$105,3,0),VLOOKUP(D402,Menu!$A$2:$F$105,4,0),VLOOKUP(D402,Menu!$A$2:$F$105,5,0),VLOOKUP(D402,Menu!$A$2:$F$105,6,0)),"N/A"))</f>
        <v>109</v>
      </c>
      <c r="H402" s="13">
        <f t="shared" si="2"/>
        <v>218</v>
      </c>
      <c r="I402" s="13">
        <f t="shared" si="3"/>
        <v>1458</v>
      </c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2">
        <v>45221.0</v>
      </c>
      <c r="B403" s="13" t="str">
        <f t="shared" si="1"/>
        <v>Sunday</v>
      </c>
      <c r="C403" s="13" t="str">
        <f>IF(D403="","",VLOOKUP(D403,Menu!$A$2:$B$105,2,0))</f>
        <v>Pizza</v>
      </c>
      <c r="D403" s="13" t="s">
        <v>26</v>
      </c>
      <c r="E403" s="13" t="s">
        <v>5</v>
      </c>
      <c r="F403" s="13">
        <v>1.0</v>
      </c>
      <c r="G403" s="13">
        <f t="array" ref="G403">IF(OR(D403="",E403=""),"",IFERROR(CHOOSE(MATCH(E403,{"S","M","L","-"},0),VLOOKUP(D403,Menu!$A$2:$F$105,3,0),VLOOKUP(D403,Menu!$A$2:$F$105,4,0),VLOOKUP(D403,Menu!$A$2:$F$105,5,0),VLOOKUP(D403,Menu!$A$2:$F$105,6,0)),"N/A"))</f>
        <v>99</v>
      </c>
      <c r="H403" s="13">
        <f t="shared" si="2"/>
        <v>99</v>
      </c>
      <c r="I403" s="13">
        <f t="shared" si="3"/>
        <v>1458</v>
      </c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2">
        <v>45221.0</v>
      </c>
      <c r="B404" s="13" t="str">
        <f t="shared" si="1"/>
        <v>Sunday</v>
      </c>
      <c r="C404" s="13" t="str">
        <f>IF(D404="","",VLOOKUP(D404,Menu!$A$2:$B$105,2,0))</f>
        <v>Dessert</v>
      </c>
      <c r="D404" s="13" t="s">
        <v>50</v>
      </c>
      <c r="E404" s="13" t="s">
        <v>5</v>
      </c>
      <c r="F404" s="13">
        <v>1.0</v>
      </c>
      <c r="G404" s="13">
        <f t="array" ref="G404">IF(OR(D404="",E404=""),"",IFERROR(CHOOSE(MATCH(E404,{"S","M","L","-"},0),VLOOKUP(D404,Menu!$A$2:$F$105,3,0),VLOOKUP(D404,Menu!$A$2:$F$105,4,0),VLOOKUP(D404,Menu!$A$2:$F$105,5,0),VLOOKUP(D404,Menu!$A$2:$F$105,6,0)),"N/A"))</f>
        <v>30</v>
      </c>
      <c r="H404" s="13">
        <f t="shared" si="2"/>
        <v>30</v>
      </c>
      <c r="I404" s="13">
        <f t="shared" si="3"/>
        <v>1458</v>
      </c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2">
        <v>45221.0</v>
      </c>
      <c r="B405" s="13" t="str">
        <f t="shared" si="1"/>
        <v>Sunday</v>
      </c>
      <c r="C405" s="13" t="str">
        <f>IF(D405="","",VLOOKUP(D405,Menu!$A$2:$B$105,2,0))</f>
        <v>Dessert</v>
      </c>
      <c r="D405" s="13" t="s">
        <v>47</v>
      </c>
      <c r="E405" s="13" t="s">
        <v>5</v>
      </c>
      <c r="F405" s="13">
        <v>2.0</v>
      </c>
      <c r="G405" s="13">
        <f t="array" ref="G405">IF(OR(D405="",E405=""),"",IFERROR(CHOOSE(MATCH(E405,{"S","M","L","-"},0),VLOOKUP(D405,Menu!$A$2:$F$105,3,0),VLOOKUP(D405,Menu!$A$2:$F$105,4,0),VLOOKUP(D405,Menu!$A$2:$F$105,5,0),VLOOKUP(D405,Menu!$A$2:$F$105,6,0)),"N/A"))</f>
        <v>40</v>
      </c>
      <c r="H405" s="13">
        <f t="shared" si="2"/>
        <v>80</v>
      </c>
      <c r="I405" s="13">
        <f t="shared" si="3"/>
        <v>1458</v>
      </c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2">
        <v>45221.0</v>
      </c>
      <c r="B406" s="13" t="str">
        <f t="shared" si="1"/>
        <v>Sunday</v>
      </c>
      <c r="C406" s="13" t="str">
        <f>IF(D406="","",VLOOKUP(D406,Menu!$A$2:$B$105,2,0))</f>
        <v>Dessert</v>
      </c>
      <c r="D406" s="13" t="s">
        <v>53</v>
      </c>
      <c r="E406" s="13" t="s">
        <v>5</v>
      </c>
      <c r="F406" s="13">
        <v>2.0</v>
      </c>
      <c r="G406" s="13">
        <f t="array" ref="G406">IF(OR(D406="",E406=""),"",IFERROR(CHOOSE(MATCH(E406,{"S","M","L","-"},0),VLOOKUP(D406,Menu!$A$2:$F$105,3,0),VLOOKUP(D406,Menu!$A$2:$F$105,4,0),VLOOKUP(D406,Menu!$A$2:$F$105,5,0),VLOOKUP(D406,Menu!$A$2:$F$105,6,0)),"N/A"))</f>
        <v>30</v>
      </c>
      <c r="H406" s="13">
        <f t="shared" si="2"/>
        <v>60</v>
      </c>
      <c r="I406" s="13">
        <f t="shared" si="3"/>
        <v>1458</v>
      </c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2">
        <v>45221.0</v>
      </c>
      <c r="B407" s="13" t="str">
        <f t="shared" si="1"/>
        <v>Sunday</v>
      </c>
      <c r="C407" s="13" t="str">
        <f>IF(D407="","",VLOOKUP(D407,Menu!$A$2:$B$105,2,0))</f>
        <v>Beverage</v>
      </c>
      <c r="D407" s="13" t="s">
        <v>63</v>
      </c>
      <c r="E407" s="13" t="s">
        <v>5</v>
      </c>
      <c r="F407" s="13">
        <v>3.0</v>
      </c>
      <c r="G407" s="13">
        <f t="array" ref="G407">IF(OR(D407="",E407=""),"",IFERROR(CHOOSE(MATCH(E407,{"S","M","L","-"},0),VLOOKUP(D407,Menu!$A$2:$F$105,3,0),VLOOKUP(D407,Menu!$A$2:$F$105,4,0),VLOOKUP(D407,Menu!$A$2:$F$105,5,0),VLOOKUP(D407,Menu!$A$2:$F$105,6,0)),"N/A"))</f>
        <v>20</v>
      </c>
      <c r="H407" s="13">
        <f t="shared" si="2"/>
        <v>60</v>
      </c>
      <c r="I407" s="13">
        <f t="shared" si="3"/>
        <v>1458</v>
      </c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2">
        <v>45221.0</v>
      </c>
      <c r="B408" s="13" t="str">
        <f t="shared" si="1"/>
        <v>Sunday</v>
      </c>
      <c r="C408" s="13" t="str">
        <f>IF(D408="","",VLOOKUP(D408,Menu!$A$2:$B$105,2,0))</f>
        <v>Dessert</v>
      </c>
      <c r="D408" s="13" t="s">
        <v>49</v>
      </c>
      <c r="E408" s="13" t="s">
        <v>5</v>
      </c>
      <c r="F408" s="13">
        <v>1.0</v>
      </c>
      <c r="G408" s="13">
        <f t="array" ref="G408">IF(OR(D408="",E408=""),"",IFERROR(CHOOSE(MATCH(E408,{"S","M","L","-"},0),VLOOKUP(D408,Menu!$A$2:$F$105,3,0),VLOOKUP(D408,Menu!$A$2:$F$105,4,0),VLOOKUP(D408,Menu!$A$2:$F$105,5,0),VLOOKUP(D408,Menu!$A$2:$F$105,6,0)),"N/A"))</f>
        <v>40</v>
      </c>
      <c r="H408" s="13">
        <f t="shared" si="2"/>
        <v>40</v>
      </c>
      <c r="I408" s="13">
        <f t="shared" si="3"/>
        <v>1458</v>
      </c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9">
        <v>45222.0</v>
      </c>
      <c r="B409" s="10" t="str">
        <f t="shared" si="1"/>
        <v>Monday</v>
      </c>
      <c r="C409" s="10" t="str">
        <f>IF(D409="","",VLOOKUP(D409,Menu!$A$2:$B$105,2,0))</f>
        <v>Pizza</v>
      </c>
      <c r="D409" s="10" t="s">
        <v>6</v>
      </c>
      <c r="E409" s="10" t="s">
        <v>2</v>
      </c>
      <c r="F409" s="10">
        <v>2.0</v>
      </c>
      <c r="G409" s="10">
        <f t="array" ref="G409">IF(OR(D409="",E409=""),"",IFERROR(CHOOSE(MATCH(E409,{"S","M","L","-"},0),VLOOKUP(D409,Menu!$A$2:$F$105,3,0),VLOOKUP(D409,Menu!$A$2:$F$105,4,0),VLOOKUP(D409,Menu!$A$2:$F$105,5,0),VLOOKUP(D409,Menu!$A$2:$F$105,6,0)),"N/A"))</f>
        <v>49</v>
      </c>
      <c r="H409" s="10">
        <f t="shared" si="2"/>
        <v>98</v>
      </c>
      <c r="I409" s="10">
        <f t="shared" si="3"/>
        <v>558</v>
      </c>
      <c r="J409" s="10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9">
        <v>45222.0</v>
      </c>
      <c r="B410" s="10" t="str">
        <f t="shared" si="1"/>
        <v>Monday</v>
      </c>
      <c r="C410" s="10" t="str">
        <f>IF(D410="","",VLOOKUP(D410,Menu!$A$2:$B$105,2,0))</f>
        <v>Pizza</v>
      </c>
      <c r="D410" s="10" t="s">
        <v>23</v>
      </c>
      <c r="E410" s="10" t="s">
        <v>3</v>
      </c>
      <c r="F410" s="10">
        <v>1.0</v>
      </c>
      <c r="G410" s="10">
        <f t="array" ref="G410">IF(OR(D410="",E410=""),"",IFERROR(CHOOSE(MATCH(E410,{"S","M","L","-"},0),VLOOKUP(D410,Menu!$A$2:$F$105,3,0),VLOOKUP(D410,Menu!$A$2:$F$105,4,0),VLOOKUP(D410,Menu!$A$2:$F$105,5,0),VLOOKUP(D410,Menu!$A$2:$F$105,6,0)),"N/A"))</f>
        <v>230</v>
      </c>
      <c r="H410" s="10">
        <f t="shared" si="2"/>
        <v>230</v>
      </c>
      <c r="I410" s="10">
        <f t="shared" si="3"/>
        <v>558</v>
      </c>
      <c r="J410" s="10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9">
        <v>45222.0</v>
      </c>
      <c r="B411" s="10" t="str">
        <f t="shared" si="1"/>
        <v>Monday</v>
      </c>
      <c r="C411" s="10" t="str">
        <f>IF(D411="","",VLOOKUP(D411,Menu!$A$2:$B$105,2,0))</f>
        <v>Dessert</v>
      </c>
      <c r="D411" s="10" t="s">
        <v>47</v>
      </c>
      <c r="E411" s="10" t="s">
        <v>5</v>
      </c>
      <c r="F411" s="10">
        <v>1.0</v>
      </c>
      <c r="G411" s="10">
        <f t="array" ref="G411">IF(OR(D411="",E411=""),"",IFERROR(CHOOSE(MATCH(E411,{"S","M","L","-"},0),VLOOKUP(D411,Menu!$A$2:$F$105,3,0),VLOOKUP(D411,Menu!$A$2:$F$105,4,0),VLOOKUP(D411,Menu!$A$2:$F$105,5,0),VLOOKUP(D411,Menu!$A$2:$F$105,6,0)),"N/A"))</f>
        <v>40</v>
      </c>
      <c r="H411" s="10">
        <f t="shared" si="2"/>
        <v>40</v>
      </c>
      <c r="I411" s="10">
        <f t="shared" si="3"/>
        <v>558</v>
      </c>
      <c r="J411" s="10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9">
        <v>45222.0</v>
      </c>
      <c r="B412" s="10" t="str">
        <f t="shared" si="1"/>
        <v>Monday</v>
      </c>
      <c r="C412" s="10" t="str">
        <f>IF(D412="","",VLOOKUP(D412,Menu!$A$2:$B$105,2,0))</f>
        <v>Shake</v>
      </c>
      <c r="D412" s="10" t="s">
        <v>46</v>
      </c>
      <c r="E412" s="10" t="s">
        <v>5</v>
      </c>
      <c r="F412" s="10">
        <v>2.0</v>
      </c>
      <c r="G412" s="10">
        <f t="array" ref="G412">IF(OR(D412="",E412=""),"",IFERROR(CHOOSE(MATCH(E412,{"S","M","L","-"},0),VLOOKUP(D412,Menu!$A$2:$F$105,3,0),VLOOKUP(D412,Menu!$A$2:$F$105,4,0),VLOOKUP(D412,Menu!$A$2:$F$105,5,0),VLOOKUP(D412,Menu!$A$2:$F$105,6,0)),"N/A"))</f>
        <v>50</v>
      </c>
      <c r="H412" s="10">
        <f t="shared" si="2"/>
        <v>100</v>
      </c>
      <c r="I412" s="10">
        <f t="shared" si="3"/>
        <v>558</v>
      </c>
      <c r="J412" s="10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9">
        <v>45222.0</v>
      </c>
      <c r="B413" s="10" t="str">
        <f t="shared" si="1"/>
        <v>Monday</v>
      </c>
      <c r="C413" s="10" t="str">
        <f>IF(D413="","",VLOOKUP(D413,Menu!$A$2:$B$105,2,0))</f>
        <v>Dessert</v>
      </c>
      <c r="D413" s="10" t="s">
        <v>50</v>
      </c>
      <c r="E413" s="10" t="s">
        <v>5</v>
      </c>
      <c r="F413" s="10">
        <v>3.0</v>
      </c>
      <c r="G413" s="10">
        <f t="array" ref="G413">IF(OR(D413="",E413=""),"",IFERROR(CHOOSE(MATCH(E413,{"S","M","L","-"},0),VLOOKUP(D413,Menu!$A$2:$F$105,3,0),VLOOKUP(D413,Menu!$A$2:$F$105,4,0),VLOOKUP(D413,Menu!$A$2:$F$105,5,0),VLOOKUP(D413,Menu!$A$2:$F$105,6,0)),"N/A"))</f>
        <v>30</v>
      </c>
      <c r="H413" s="10">
        <f t="shared" si="2"/>
        <v>90</v>
      </c>
      <c r="I413" s="10">
        <f t="shared" si="3"/>
        <v>558</v>
      </c>
      <c r="J413" s="10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2">
        <v>45223.0</v>
      </c>
      <c r="B414" s="13" t="str">
        <f t="shared" si="1"/>
        <v>Tuesday</v>
      </c>
      <c r="C414" s="13" t="str">
        <f>IF(D414="","",VLOOKUP(D414,Menu!$A$2:$B$105,2,0))</f>
        <v>Pizza</v>
      </c>
      <c r="D414" s="13" t="s">
        <v>13</v>
      </c>
      <c r="E414" s="13" t="s">
        <v>2</v>
      </c>
      <c r="F414" s="13">
        <v>3.0</v>
      </c>
      <c r="G414" s="13">
        <f t="array" ref="G414">IF(OR(D414="",E414=""),"",IFERROR(CHOOSE(MATCH(E414,{"S","M","L","-"},0),VLOOKUP(D414,Menu!$A$2:$F$105,3,0),VLOOKUP(D414,Menu!$A$2:$F$105,4,0),VLOOKUP(D414,Menu!$A$2:$F$105,5,0),VLOOKUP(D414,Menu!$A$2:$F$105,6,0)),"N/A"))</f>
        <v>79</v>
      </c>
      <c r="H414" s="13">
        <f t="shared" si="2"/>
        <v>237</v>
      </c>
      <c r="I414" s="13">
        <f t="shared" si="3"/>
        <v>524</v>
      </c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2">
        <v>45223.0</v>
      </c>
      <c r="B415" s="13" t="str">
        <f t="shared" si="1"/>
        <v>Tuesday</v>
      </c>
      <c r="C415" s="13" t="str">
        <f>IF(D415="","",VLOOKUP(D415,Menu!$A$2:$B$105,2,0))</f>
        <v>Combo</v>
      </c>
      <c r="D415" s="13" t="s">
        <v>57</v>
      </c>
      <c r="E415" s="13" t="s">
        <v>5</v>
      </c>
      <c r="F415" s="13">
        <v>1.0</v>
      </c>
      <c r="G415" s="13">
        <f t="array" ref="G415">IF(OR(D415="",E415=""),"",IFERROR(CHOOSE(MATCH(E415,{"S","M","L","-"},0),VLOOKUP(D415,Menu!$A$2:$F$105,3,0),VLOOKUP(D415,Menu!$A$2:$F$105,4,0),VLOOKUP(D415,Menu!$A$2:$F$105,5,0),VLOOKUP(D415,Menu!$A$2:$F$105,6,0)),"N/A"))</f>
        <v>149</v>
      </c>
      <c r="H415" s="13">
        <f t="shared" si="2"/>
        <v>149</v>
      </c>
      <c r="I415" s="13">
        <f t="shared" si="3"/>
        <v>524</v>
      </c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2">
        <v>45223.0</v>
      </c>
      <c r="B416" s="13" t="str">
        <f t="shared" si="1"/>
        <v>Tuesday</v>
      </c>
      <c r="C416" s="13" t="str">
        <f>IF(D416="","",VLOOKUP(D416,Menu!$A$2:$B$105,2,0))</f>
        <v>Pizza</v>
      </c>
      <c r="D416" s="13" t="s">
        <v>8</v>
      </c>
      <c r="E416" s="13" t="s">
        <v>2</v>
      </c>
      <c r="F416" s="13">
        <v>2.0</v>
      </c>
      <c r="G416" s="13">
        <f t="array" ref="G416">IF(OR(D416="",E416=""),"",IFERROR(CHOOSE(MATCH(E416,{"S","M","L","-"},0),VLOOKUP(D416,Menu!$A$2:$F$105,3,0),VLOOKUP(D416,Menu!$A$2:$F$105,4,0),VLOOKUP(D416,Menu!$A$2:$F$105,5,0),VLOOKUP(D416,Menu!$A$2:$F$105,6,0)),"N/A"))</f>
        <v>59</v>
      </c>
      <c r="H416" s="13">
        <f t="shared" si="2"/>
        <v>118</v>
      </c>
      <c r="I416" s="13">
        <f t="shared" si="3"/>
        <v>524</v>
      </c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2">
        <v>45223.0</v>
      </c>
      <c r="B417" s="13" t="str">
        <f t="shared" si="1"/>
        <v>Tuesday</v>
      </c>
      <c r="C417" s="13" t="str">
        <f>IF(D417="","",VLOOKUP(D417,Menu!$A$2:$B$105,2,0))</f>
        <v>Beverage</v>
      </c>
      <c r="D417" s="13" t="s">
        <v>63</v>
      </c>
      <c r="E417" s="13" t="s">
        <v>5</v>
      </c>
      <c r="F417" s="13">
        <v>1.0</v>
      </c>
      <c r="G417" s="13">
        <f t="array" ref="G417">IF(OR(D417="",E417=""),"",IFERROR(CHOOSE(MATCH(E417,{"S","M","L","-"},0),VLOOKUP(D417,Menu!$A$2:$F$105,3,0),VLOOKUP(D417,Menu!$A$2:$F$105,4,0),VLOOKUP(D417,Menu!$A$2:$F$105,5,0),VLOOKUP(D417,Menu!$A$2:$F$105,6,0)),"N/A"))</f>
        <v>20</v>
      </c>
      <c r="H417" s="13">
        <f t="shared" si="2"/>
        <v>20</v>
      </c>
      <c r="I417" s="13">
        <f t="shared" si="3"/>
        <v>524</v>
      </c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9">
        <v>45224.0</v>
      </c>
      <c r="B418" s="10" t="str">
        <f t="shared" si="1"/>
        <v>Wednesday</v>
      </c>
      <c r="C418" s="10" t="str">
        <f>IF(D418="","",VLOOKUP(D418,Menu!$A$2:$B$105,2,0))</f>
        <v>Burger</v>
      </c>
      <c r="D418" s="10" t="s">
        <v>66</v>
      </c>
      <c r="E418" s="10" t="s">
        <v>5</v>
      </c>
      <c r="F418" s="10">
        <v>2.0</v>
      </c>
      <c r="G418" s="10">
        <f t="array" ref="G418">IF(OR(D418="",E418=""),"",IFERROR(CHOOSE(MATCH(E418,{"S","M","L","-"},0),VLOOKUP(D418,Menu!$A$2:$F$105,3,0),VLOOKUP(D418,Menu!$A$2:$F$105,4,0),VLOOKUP(D418,Menu!$A$2:$F$105,5,0),VLOOKUP(D418,Menu!$A$2:$F$105,6,0)),"N/A"))</f>
        <v>5</v>
      </c>
      <c r="H418" s="10">
        <f t="shared" si="2"/>
        <v>10</v>
      </c>
      <c r="I418" s="10">
        <f t="shared" si="3"/>
        <v>1724</v>
      </c>
      <c r="J418" s="10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9">
        <v>45224.0</v>
      </c>
      <c r="B419" s="10" t="str">
        <f t="shared" si="1"/>
        <v>Wednesday</v>
      </c>
      <c r="C419" s="10" t="str">
        <f>IF(D419="","",VLOOKUP(D419,Menu!$A$2:$B$105,2,0))</f>
        <v>Beverage</v>
      </c>
      <c r="D419" s="10" t="s">
        <v>65</v>
      </c>
      <c r="E419" s="10" t="s">
        <v>5</v>
      </c>
      <c r="F419" s="10">
        <v>1.0</v>
      </c>
      <c r="G419" s="10">
        <f t="array" ref="G419">IF(OR(D419="",E419=""),"",IFERROR(CHOOSE(MATCH(E419,{"S","M","L","-"},0),VLOOKUP(D419,Menu!$A$2:$F$105,3,0),VLOOKUP(D419,Menu!$A$2:$F$105,4,0),VLOOKUP(D419,Menu!$A$2:$F$105,5,0),VLOOKUP(D419,Menu!$A$2:$F$105,6,0)),"N/A"))</f>
        <v>20</v>
      </c>
      <c r="H419" s="10">
        <f t="shared" si="2"/>
        <v>20</v>
      </c>
      <c r="I419" s="10">
        <f t="shared" si="3"/>
        <v>1724</v>
      </c>
      <c r="J419" s="10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9">
        <v>45224.0</v>
      </c>
      <c r="B420" s="10" t="str">
        <f t="shared" si="1"/>
        <v>Wednesday</v>
      </c>
      <c r="C420" s="10" t="str">
        <f>IF(D420="","",VLOOKUP(D420,Menu!$A$2:$B$105,2,0))</f>
        <v>Beverage</v>
      </c>
      <c r="D420" s="10" t="s">
        <v>63</v>
      </c>
      <c r="E420" s="10" t="s">
        <v>5</v>
      </c>
      <c r="F420" s="10">
        <v>2.0</v>
      </c>
      <c r="G420" s="10">
        <f t="array" ref="G420">IF(OR(D420="",E420=""),"",IFERROR(CHOOSE(MATCH(E420,{"S","M","L","-"},0),VLOOKUP(D420,Menu!$A$2:$F$105,3,0),VLOOKUP(D420,Menu!$A$2:$F$105,4,0),VLOOKUP(D420,Menu!$A$2:$F$105,5,0),VLOOKUP(D420,Menu!$A$2:$F$105,6,0)),"N/A"))</f>
        <v>20</v>
      </c>
      <c r="H420" s="10">
        <f t="shared" si="2"/>
        <v>40</v>
      </c>
      <c r="I420" s="10">
        <f t="shared" si="3"/>
        <v>1724</v>
      </c>
      <c r="J420" s="10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9">
        <v>45224.0</v>
      </c>
      <c r="B421" s="10" t="str">
        <f t="shared" si="1"/>
        <v>Wednesday</v>
      </c>
      <c r="C421" s="10" t="str">
        <f>IF(D421="","",VLOOKUP(D421,Menu!$A$2:$B$105,2,0))</f>
        <v>Shake</v>
      </c>
      <c r="D421" s="10" t="s">
        <v>38</v>
      </c>
      <c r="E421" s="10" t="s">
        <v>5</v>
      </c>
      <c r="F421" s="10">
        <v>4.0</v>
      </c>
      <c r="G421" s="10">
        <f t="array" ref="G421">IF(OR(D421="",E421=""),"",IFERROR(CHOOSE(MATCH(E421,{"S","M","L","-"},0),VLOOKUP(D421,Menu!$A$2:$F$105,3,0),VLOOKUP(D421,Menu!$A$2:$F$105,4,0),VLOOKUP(D421,Menu!$A$2:$F$105,5,0),VLOOKUP(D421,Menu!$A$2:$F$105,6,0)),"N/A"))</f>
        <v>70</v>
      </c>
      <c r="H421" s="10">
        <f t="shared" si="2"/>
        <v>280</v>
      </c>
      <c r="I421" s="10">
        <f t="shared" si="3"/>
        <v>1724</v>
      </c>
      <c r="J421" s="10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9">
        <v>45224.0</v>
      </c>
      <c r="B422" s="10" t="str">
        <f t="shared" si="1"/>
        <v>Wednesday</v>
      </c>
      <c r="C422" s="10" t="str">
        <f>IF(D422="","",VLOOKUP(D422,Menu!$A$2:$B$105,2,0))</f>
        <v>Shake</v>
      </c>
      <c r="D422" s="10" t="s">
        <v>41</v>
      </c>
      <c r="E422" s="10" t="s">
        <v>5</v>
      </c>
      <c r="F422" s="10">
        <v>4.0</v>
      </c>
      <c r="G422" s="10">
        <f t="array" ref="G422">IF(OR(D422="",E422=""),"",IFERROR(CHOOSE(MATCH(E422,{"S","M","L","-"},0),VLOOKUP(D422,Menu!$A$2:$F$105,3,0),VLOOKUP(D422,Menu!$A$2:$F$105,4,0),VLOOKUP(D422,Menu!$A$2:$F$105,5,0),VLOOKUP(D422,Menu!$A$2:$F$105,6,0)),"N/A"))</f>
        <v>70</v>
      </c>
      <c r="H422" s="10">
        <f t="shared" si="2"/>
        <v>280</v>
      </c>
      <c r="I422" s="10">
        <f t="shared" si="3"/>
        <v>1724</v>
      </c>
      <c r="J422" s="10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9">
        <v>45224.0</v>
      </c>
      <c r="B423" s="10" t="str">
        <f t="shared" si="1"/>
        <v>Wednesday</v>
      </c>
      <c r="C423" s="10" t="str">
        <f>IF(D423="","",VLOOKUP(D423,Menu!$A$2:$B$105,2,0))</f>
        <v>Bread</v>
      </c>
      <c r="D423" s="10" t="s">
        <v>37</v>
      </c>
      <c r="E423" s="10" t="s">
        <v>5</v>
      </c>
      <c r="F423" s="10">
        <v>1.0</v>
      </c>
      <c r="G423" s="10">
        <f t="array" ref="G423">IF(OR(D423="",E423=""),"",IFERROR(CHOOSE(MATCH(E423,{"S","M","L","-"},0),VLOOKUP(D423,Menu!$A$2:$F$105,3,0),VLOOKUP(D423,Menu!$A$2:$F$105,4,0),VLOOKUP(D423,Menu!$A$2:$F$105,5,0),VLOOKUP(D423,Menu!$A$2:$F$105,6,0)),"N/A"))</f>
        <v>89</v>
      </c>
      <c r="H423" s="10">
        <f t="shared" si="2"/>
        <v>89</v>
      </c>
      <c r="I423" s="10">
        <f t="shared" si="3"/>
        <v>1724</v>
      </c>
      <c r="J423" s="10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9">
        <v>45224.0</v>
      </c>
      <c r="B424" s="10" t="str">
        <f t="shared" si="1"/>
        <v>Wednesday</v>
      </c>
      <c r="C424" s="10" t="str">
        <f>IF(D424="","",VLOOKUP(D424,Menu!$A$2:$B$105,2,0))</f>
        <v>Pizza</v>
      </c>
      <c r="D424" s="10" t="s">
        <v>11</v>
      </c>
      <c r="E424" s="10" t="s">
        <v>3</v>
      </c>
      <c r="F424" s="10">
        <v>1.0</v>
      </c>
      <c r="G424" s="10">
        <f t="array" ref="G424">IF(OR(D424="",E424=""),"",IFERROR(CHOOSE(MATCH(E424,{"S","M","L","-"},0),VLOOKUP(D424,Menu!$A$2:$F$105,3,0),VLOOKUP(D424,Menu!$A$2:$F$105,4,0),VLOOKUP(D424,Menu!$A$2:$F$105,5,0),VLOOKUP(D424,Menu!$A$2:$F$105,6,0)),"N/A"))</f>
        <v>109</v>
      </c>
      <c r="H424" s="10">
        <f t="shared" si="2"/>
        <v>109</v>
      </c>
      <c r="I424" s="10">
        <f t="shared" si="3"/>
        <v>1724</v>
      </c>
      <c r="J424" s="1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9">
        <v>45224.0</v>
      </c>
      <c r="B425" s="10" t="str">
        <f t="shared" si="1"/>
        <v>Wednesday</v>
      </c>
      <c r="C425" s="10" t="str">
        <f>IF(D425="","",VLOOKUP(D425,Menu!$A$2:$B$105,2,0))</f>
        <v>Pizza</v>
      </c>
      <c r="D425" s="10" t="s">
        <v>15</v>
      </c>
      <c r="E425" s="10" t="s">
        <v>4</v>
      </c>
      <c r="F425" s="10">
        <v>2.0</v>
      </c>
      <c r="G425" s="10">
        <f t="array" ref="G425">IF(OR(D425="",E425=""),"",IFERROR(CHOOSE(MATCH(E425,{"S","M","L","-"},0),VLOOKUP(D425,Menu!$A$2:$F$105,3,0),VLOOKUP(D425,Menu!$A$2:$F$105,4,0),VLOOKUP(D425,Menu!$A$2:$F$105,5,0),VLOOKUP(D425,Menu!$A$2:$F$105,6,0)),"N/A"))</f>
        <v>249</v>
      </c>
      <c r="H425" s="10">
        <f t="shared" si="2"/>
        <v>498</v>
      </c>
      <c r="I425" s="10">
        <f t="shared" si="3"/>
        <v>1724</v>
      </c>
      <c r="J425" s="1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9">
        <v>45224.0</v>
      </c>
      <c r="B426" s="10" t="str">
        <f t="shared" si="1"/>
        <v>Wednesday</v>
      </c>
      <c r="C426" s="10" t="str">
        <f>IF(D426="","",VLOOKUP(D426,Menu!$A$2:$B$105,2,0))</f>
        <v>Pizza</v>
      </c>
      <c r="D426" s="10" t="s">
        <v>16</v>
      </c>
      <c r="E426" s="10" t="s">
        <v>3</v>
      </c>
      <c r="F426" s="10">
        <v>2.0</v>
      </c>
      <c r="G426" s="10">
        <f t="array" ref="G426">IF(OR(D426="",E426=""),"",IFERROR(CHOOSE(MATCH(E426,{"S","M","L","-"},0),VLOOKUP(D426,Menu!$A$2:$F$105,3,0),VLOOKUP(D426,Menu!$A$2:$F$105,4,0),VLOOKUP(D426,Menu!$A$2:$F$105,5,0),VLOOKUP(D426,Menu!$A$2:$F$105,6,0)),"N/A"))</f>
        <v>199</v>
      </c>
      <c r="H426" s="10">
        <f t="shared" si="2"/>
        <v>398</v>
      </c>
      <c r="I426" s="10">
        <f t="shared" si="3"/>
        <v>1724</v>
      </c>
      <c r="J426" s="1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2">
        <v>45225.0</v>
      </c>
      <c r="B427" s="13" t="str">
        <f t="shared" si="1"/>
        <v>Thursday</v>
      </c>
      <c r="C427" s="13" t="str">
        <f>IF(D427="","",VLOOKUP(D427,Menu!$A$2:$B$105,2,0))</f>
        <v>Burger</v>
      </c>
      <c r="D427" s="13" t="s">
        <v>29</v>
      </c>
      <c r="E427" s="13" t="s">
        <v>5</v>
      </c>
      <c r="F427" s="13">
        <v>4.0</v>
      </c>
      <c r="G427" s="13">
        <f t="array" ref="G427">IF(OR(D427="",E427=""),"",IFERROR(CHOOSE(MATCH(E427,{"S","M","L","-"},0),VLOOKUP(D427,Menu!$A$2:$F$105,3,0),VLOOKUP(D427,Menu!$A$2:$F$105,4,0),VLOOKUP(D427,Menu!$A$2:$F$105,5,0),VLOOKUP(D427,Menu!$A$2:$F$105,6,0)),"N/A"))</f>
        <v>59</v>
      </c>
      <c r="H427" s="13">
        <f t="shared" si="2"/>
        <v>236</v>
      </c>
      <c r="I427" s="13">
        <f t="shared" si="3"/>
        <v>711</v>
      </c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2">
        <v>45225.0</v>
      </c>
      <c r="B428" s="13" t="str">
        <f t="shared" si="1"/>
        <v>Thursday</v>
      </c>
      <c r="C428" s="13" t="str">
        <f>IF(D428="","",VLOOKUP(D428,Menu!$A$2:$B$105,2,0))</f>
        <v>Pizza</v>
      </c>
      <c r="D428" s="13" t="s">
        <v>8</v>
      </c>
      <c r="E428" s="13" t="s">
        <v>2</v>
      </c>
      <c r="F428" s="13">
        <v>1.0</v>
      </c>
      <c r="G428" s="13">
        <f t="array" ref="G428">IF(OR(D428="",E428=""),"",IFERROR(CHOOSE(MATCH(E428,{"S","M","L","-"},0),VLOOKUP(D428,Menu!$A$2:$F$105,3,0),VLOOKUP(D428,Menu!$A$2:$F$105,4,0),VLOOKUP(D428,Menu!$A$2:$F$105,5,0),VLOOKUP(D428,Menu!$A$2:$F$105,6,0)),"N/A"))</f>
        <v>59</v>
      </c>
      <c r="H428" s="13">
        <f t="shared" si="2"/>
        <v>59</v>
      </c>
      <c r="I428" s="13">
        <f t="shared" si="3"/>
        <v>711</v>
      </c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2">
        <v>45225.0</v>
      </c>
      <c r="B429" s="13" t="str">
        <f t="shared" si="1"/>
        <v>Thursday</v>
      </c>
      <c r="C429" s="13" t="str">
        <f>IF(D429="","",VLOOKUP(D429,Menu!$A$2:$B$105,2,0))</f>
        <v>Shake</v>
      </c>
      <c r="D429" s="13" t="s">
        <v>38</v>
      </c>
      <c r="E429" s="13" t="s">
        <v>5</v>
      </c>
      <c r="F429" s="13">
        <v>1.0</v>
      </c>
      <c r="G429" s="13">
        <f t="array" ref="G429">IF(OR(D429="",E429=""),"",IFERROR(CHOOSE(MATCH(E429,{"S","M","L","-"},0),VLOOKUP(D429,Menu!$A$2:$F$105,3,0),VLOOKUP(D429,Menu!$A$2:$F$105,4,0),VLOOKUP(D429,Menu!$A$2:$F$105,5,0),VLOOKUP(D429,Menu!$A$2:$F$105,6,0)),"N/A"))</f>
        <v>70</v>
      </c>
      <c r="H429" s="13">
        <f t="shared" si="2"/>
        <v>70</v>
      </c>
      <c r="I429" s="13">
        <f t="shared" si="3"/>
        <v>711</v>
      </c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2">
        <v>45225.0</v>
      </c>
      <c r="B430" s="13" t="str">
        <f t="shared" si="1"/>
        <v>Thursday</v>
      </c>
      <c r="C430" s="13" t="str">
        <f>IF(D430="","",VLOOKUP(D430,Menu!$A$2:$B$105,2,0))</f>
        <v>Burger</v>
      </c>
      <c r="D430" s="13" t="s">
        <v>27</v>
      </c>
      <c r="E430" s="13" t="s">
        <v>5</v>
      </c>
      <c r="F430" s="13">
        <v>2.0</v>
      </c>
      <c r="G430" s="13">
        <f t="array" ref="G430">IF(OR(D430="",E430=""),"",IFERROR(CHOOSE(MATCH(E430,{"S","M","L","-"},0),VLOOKUP(D430,Menu!$A$2:$F$105,3,0),VLOOKUP(D430,Menu!$A$2:$F$105,4,0),VLOOKUP(D430,Menu!$A$2:$F$105,5,0),VLOOKUP(D430,Menu!$A$2:$F$105,6,0)),"N/A"))</f>
        <v>39</v>
      </c>
      <c r="H430" s="13">
        <f t="shared" si="2"/>
        <v>78</v>
      </c>
      <c r="I430" s="13">
        <f t="shared" si="3"/>
        <v>711</v>
      </c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2">
        <v>45225.0</v>
      </c>
      <c r="B431" s="13" t="str">
        <f t="shared" si="1"/>
        <v>Thursday</v>
      </c>
      <c r="C431" s="13" t="str">
        <f>IF(D431="","",VLOOKUP(D431,Menu!$A$2:$B$105,2,0))</f>
        <v>Pizza</v>
      </c>
      <c r="D431" s="13" t="s">
        <v>17</v>
      </c>
      <c r="E431" s="13" t="s">
        <v>3</v>
      </c>
      <c r="F431" s="13">
        <v>1.0</v>
      </c>
      <c r="G431" s="13">
        <f t="array" ref="G431">IF(OR(D431="",E431=""),"",IFERROR(CHOOSE(MATCH(E431,{"S","M","L","-"},0),VLOOKUP(D431,Menu!$A$2:$F$105,3,0),VLOOKUP(D431,Menu!$A$2:$F$105,4,0),VLOOKUP(D431,Menu!$A$2:$F$105,5,0),VLOOKUP(D431,Menu!$A$2:$F$105,6,0)),"N/A"))</f>
        <v>199</v>
      </c>
      <c r="H431" s="13">
        <f t="shared" si="2"/>
        <v>199</v>
      </c>
      <c r="I431" s="13">
        <f t="shared" si="3"/>
        <v>711</v>
      </c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2">
        <v>45225.0</v>
      </c>
      <c r="B432" s="13" t="str">
        <f t="shared" si="1"/>
        <v>Thursday</v>
      </c>
      <c r="C432" s="13" t="str">
        <f>IF(D432="","",VLOOKUP(D432,Menu!$A$2:$B$105,2,0))</f>
        <v>Pizza</v>
      </c>
      <c r="D432" s="13" t="s">
        <v>11</v>
      </c>
      <c r="E432" s="13" t="s">
        <v>2</v>
      </c>
      <c r="F432" s="13">
        <v>1.0</v>
      </c>
      <c r="G432" s="13">
        <f t="array" ref="G432">IF(OR(D432="",E432=""),"",IFERROR(CHOOSE(MATCH(E432,{"S","M","L","-"},0),VLOOKUP(D432,Menu!$A$2:$F$105,3,0),VLOOKUP(D432,Menu!$A$2:$F$105,4,0),VLOOKUP(D432,Menu!$A$2:$F$105,5,0),VLOOKUP(D432,Menu!$A$2:$F$105,6,0)),"N/A"))</f>
        <v>69</v>
      </c>
      <c r="H432" s="13">
        <f t="shared" si="2"/>
        <v>69</v>
      </c>
      <c r="I432" s="13">
        <f t="shared" si="3"/>
        <v>711</v>
      </c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9">
        <v>45226.0</v>
      </c>
      <c r="B433" s="10" t="str">
        <f t="shared" si="1"/>
        <v>Friday</v>
      </c>
      <c r="C433" s="10" t="str">
        <f>IF(D433="","",VLOOKUP(D433,Menu!$A$2:$B$105,2,0))</f>
        <v>Hot Dog</v>
      </c>
      <c r="D433" s="10" t="s">
        <v>32</v>
      </c>
      <c r="E433" s="10" t="s">
        <v>5</v>
      </c>
      <c r="F433" s="10">
        <v>1.0</v>
      </c>
      <c r="G433" s="10">
        <f t="array" ref="G433">IF(OR(D433="",E433=""),"",IFERROR(CHOOSE(MATCH(E433,{"S","M","L","-"},0),VLOOKUP(D433,Menu!$A$2:$F$105,3,0),VLOOKUP(D433,Menu!$A$2:$F$105,4,0),VLOOKUP(D433,Menu!$A$2:$F$105,5,0),VLOOKUP(D433,Menu!$A$2:$F$105,6,0)),"N/A"))</f>
        <v>70</v>
      </c>
      <c r="H433" s="10">
        <f t="shared" si="2"/>
        <v>70</v>
      </c>
      <c r="I433" s="10">
        <f t="shared" si="3"/>
        <v>506</v>
      </c>
      <c r="J433" s="1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9">
        <v>45226.0</v>
      </c>
      <c r="B434" s="10" t="str">
        <f t="shared" si="1"/>
        <v>Friday</v>
      </c>
      <c r="C434" s="10" t="str">
        <f>IF(D434="","",VLOOKUP(D434,Menu!$A$2:$B$105,2,0))</f>
        <v>Burger</v>
      </c>
      <c r="D434" s="10" t="s">
        <v>27</v>
      </c>
      <c r="E434" s="10" t="s">
        <v>5</v>
      </c>
      <c r="F434" s="10">
        <v>1.0</v>
      </c>
      <c r="G434" s="10">
        <f t="array" ref="G434">IF(OR(D434="",E434=""),"",IFERROR(CHOOSE(MATCH(E434,{"S","M","L","-"},0),VLOOKUP(D434,Menu!$A$2:$F$105,3,0),VLOOKUP(D434,Menu!$A$2:$F$105,4,0),VLOOKUP(D434,Menu!$A$2:$F$105,5,0),VLOOKUP(D434,Menu!$A$2:$F$105,6,0)),"N/A"))</f>
        <v>39</v>
      </c>
      <c r="H434" s="10">
        <f t="shared" si="2"/>
        <v>39</v>
      </c>
      <c r="I434" s="10">
        <f t="shared" si="3"/>
        <v>506</v>
      </c>
      <c r="J434" s="1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9">
        <v>45226.0</v>
      </c>
      <c r="B435" s="10" t="str">
        <f t="shared" si="1"/>
        <v>Friday</v>
      </c>
      <c r="C435" s="10" t="str">
        <f>IF(D435="","",VLOOKUP(D435,Menu!$A$2:$B$105,2,0))</f>
        <v>Pizza</v>
      </c>
      <c r="D435" s="10" t="s">
        <v>8</v>
      </c>
      <c r="E435" s="10" t="s">
        <v>3</v>
      </c>
      <c r="F435" s="10">
        <v>1.0</v>
      </c>
      <c r="G435" s="10">
        <f t="array" ref="G435">IF(OR(D435="",E435=""),"",IFERROR(CHOOSE(MATCH(E435,{"S","M","L","-"},0),VLOOKUP(D435,Menu!$A$2:$F$105,3,0),VLOOKUP(D435,Menu!$A$2:$F$105,4,0),VLOOKUP(D435,Menu!$A$2:$F$105,5,0),VLOOKUP(D435,Menu!$A$2:$F$105,6,0)),"N/A"))</f>
        <v>109</v>
      </c>
      <c r="H435" s="10">
        <f t="shared" si="2"/>
        <v>109</v>
      </c>
      <c r="I435" s="10">
        <f t="shared" si="3"/>
        <v>506</v>
      </c>
      <c r="J435" s="10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9">
        <v>45226.0</v>
      </c>
      <c r="B436" s="10" t="str">
        <f t="shared" si="1"/>
        <v>Friday</v>
      </c>
      <c r="C436" s="10" t="str">
        <f>IF(D436="","",VLOOKUP(D436,Menu!$A$2:$B$105,2,0))</f>
        <v>Pizza</v>
      </c>
      <c r="D436" s="10" t="s">
        <v>10</v>
      </c>
      <c r="E436" s="10" t="s">
        <v>2</v>
      </c>
      <c r="F436" s="10">
        <v>1.0</v>
      </c>
      <c r="G436" s="10">
        <f t="array" ref="G436">IF(OR(D436="",E436=""),"",IFERROR(CHOOSE(MATCH(E436,{"S","M","L","-"},0),VLOOKUP(D436,Menu!$A$2:$F$105,3,0),VLOOKUP(D436,Menu!$A$2:$F$105,4,0),VLOOKUP(D436,Menu!$A$2:$F$105,5,0),VLOOKUP(D436,Menu!$A$2:$F$105,6,0)),"N/A"))</f>
        <v>59</v>
      </c>
      <c r="H436" s="10">
        <f t="shared" si="2"/>
        <v>59</v>
      </c>
      <c r="I436" s="10">
        <f t="shared" si="3"/>
        <v>506</v>
      </c>
      <c r="J436" s="10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9">
        <v>45226.0</v>
      </c>
      <c r="B437" s="10" t="str">
        <f t="shared" si="1"/>
        <v>Friday</v>
      </c>
      <c r="C437" s="10" t="str">
        <f>IF(D437="","",VLOOKUP(D437,Menu!$A$2:$B$105,2,0))</f>
        <v>Shake</v>
      </c>
      <c r="D437" s="10" t="s">
        <v>41</v>
      </c>
      <c r="E437" s="10" t="s">
        <v>5</v>
      </c>
      <c r="F437" s="10">
        <v>2.0</v>
      </c>
      <c r="G437" s="10">
        <f t="array" ref="G437">IF(OR(D437="",E437=""),"",IFERROR(CHOOSE(MATCH(E437,{"S","M","L","-"},0),VLOOKUP(D437,Menu!$A$2:$F$105,3,0),VLOOKUP(D437,Menu!$A$2:$F$105,4,0),VLOOKUP(D437,Menu!$A$2:$F$105,5,0),VLOOKUP(D437,Menu!$A$2:$F$105,6,0)),"N/A"))</f>
        <v>70</v>
      </c>
      <c r="H437" s="10">
        <f t="shared" si="2"/>
        <v>140</v>
      </c>
      <c r="I437" s="10">
        <f t="shared" si="3"/>
        <v>506</v>
      </c>
      <c r="J437" s="10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9">
        <v>45226.0</v>
      </c>
      <c r="B438" s="10" t="str">
        <f t="shared" si="1"/>
        <v>Friday</v>
      </c>
      <c r="C438" s="10" t="str">
        <f>IF(D438="","",VLOOKUP(D438,Menu!$A$2:$B$105,2,0))</f>
        <v>Pizza</v>
      </c>
      <c r="D438" s="10" t="s">
        <v>11</v>
      </c>
      <c r="E438" s="10" t="s">
        <v>2</v>
      </c>
      <c r="F438" s="10">
        <v>1.0</v>
      </c>
      <c r="G438" s="10">
        <f t="array" ref="G438">IF(OR(D438="",E438=""),"",IFERROR(CHOOSE(MATCH(E438,{"S","M","L","-"},0),VLOOKUP(D438,Menu!$A$2:$F$105,3,0),VLOOKUP(D438,Menu!$A$2:$F$105,4,0),VLOOKUP(D438,Menu!$A$2:$F$105,5,0),VLOOKUP(D438,Menu!$A$2:$F$105,6,0)),"N/A"))</f>
        <v>69</v>
      </c>
      <c r="H438" s="10">
        <f t="shared" si="2"/>
        <v>69</v>
      </c>
      <c r="I438" s="10">
        <f t="shared" si="3"/>
        <v>506</v>
      </c>
      <c r="J438" s="10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9">
        <v>45226.0</v>
      </c>
      <c r="B439" s="10" t="str">
        <f t="shared" si="1"/>
        <v>Friday</v>
      </c>
      <c r="C439" s="10" t="str">
        <f>IF(D439="","",VLOOKUP(D439,Menu!$A$2:$B$105,2,0))</f>
        <v>Beverage</v>
      </c>
      <c r="D439" s="10" t="s">
        <v>65</v>
      </c>
      <c r="E439" s="10" t="s">
        <v>5</v>
      </c>
      <c r="F439" s="10">
        <v>1.0</v>
      </c>
      <c r="G439" s="10">
        <f t="array" ref="G439">IF(OR(D439="",E439=""),"",IFERROR(CHOOSE(MATCH(E439,{"S","M","L","-"},0),VLOOKUP(D439,Menu!$A$2:$F$105,3,0),VLOOKUP(D439,Menu!$A$2:$F$105,4,0),VLOOKUP(D439,Menu!$A$2:$F$105,5,0),VLOOKUP(D439,Menu!$A$2:$F$105,6,0)),"N/A"))</f>
        <v>20</v>
      </c>
      <c r="H439" s="10">
        <f t="shared" si="2"/>
        <v>20</v>
      </c>
      <c r="I439" s="10">
        <f t="shared" si="3"/>
        <v>506</v>
      </c>
      <c r="J439" s="10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2">
        <v>45227.0</v>
      </c>
      <c r="B440" s="13" t="str">
        <f t="shared" si="1"/>
        <v>Saturday</v>
      </c>
      <c r="C440" s="13" t="str">
        <f>IF(D440="","",VLOOKUP(D440,Menu!$A$2:$B$105,2,0))</f>
        <v>Pizza</v>
      </c>
      <c r="D440" s="13" t="s">
        <v>8</v>
      </c>
      <c r="E440" s="13" t="s">
        <v>2</v>
      </c>
      <c r="F440" s="13">
        <v>4.0</v>
      </c>
      <c r="G440" s="13">
        <f t="array" ref="G440">IF(OR(D440="",E440=""),"",IFERROR(CHOOSE(MATCH(E440,{"S","M","L","-"},0),VLOOKUP(D440,Menu!$A$2:$F$105,3,0),VLOOKUP(D440,Menu!$A$2:$F$105,4,0),VLOOKUP(D440,Menu!$A$2:$F$105,5,0),VLOOKUP(D440,Menu!$A$2:$F$105,6,0)),"N/A"))</f>
        <v>59</v>
      </c>
      <c r="H440" s="13">
        <f t="shared" si="2"/>
        <v>236</v>
      </c>
      <c r="I440" s="13">
        <f t="shared" si="3"/>
        <v>998</v>
      </c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2">
        <v>45227.0</v>
      </c>
      <c r="B441" s="13" t="str">
        <f t="shared" si="1"/>
        <v>Saturday</v>
      </c>
      <c r="C441" s="13" t="str">
        <f>IF(D441="","",VLOOKUP(D441,Menu!$A$2:$B$105,2,0))</f>
        <v>Pizza</v>
      </c>
      <c r="D441" s="13" t="s">
        <v>10</v>
      </c>
      <c r="E441" s="13" t="s">
        <v>2</v>
      </c>
      <c r="F441" s="13">
        <v>1.0</v>
      </c>
      <c r="G441" s="13">
        <f t="array" ref="G441">IF(OR(D441="",E441=""),"",IFERROR(CHOOSE(MATCH(E441,{"S","M","L","-"},0),VLOOKUP(D441,Menu!$A$2:$F$105,3,0),VLOOKUP(D441,Menu!$A$2:$F$105,4,0),VLOOKUP(D441,Menu!$A$2:$F$105,5,0),VLOOKUP(D441,Menu!$A$2:$F$105,6,0)),"N/A"))</f>
        <v>59</v>
      </c>
      <c r="H441" s="13">
        <f t="shared" si="2"/>
        <v>59</v>
      </c>
      <c r="I441" s="13">
        <f t="shared" si="3"/>
        <v>998</v>
      </c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2">
        <v>45227.0</v>
      </c>
      <c r="B442" s="13" t="str">
        <f t="shared" si="1"/>
        <v>Saturday</v>
      </c>
      <c r="C442" s="13" t="str">
        <f>IF(D442="","",VLOOKUP(D442,Menu!$A$2:$B$105,2,0))</f>
        <v>Pizza</v>
      </c>
      <c r="D442" s="13" t="s">
        <v>9</v>
      </c>
      <c r="E442" s="13" t="s">
        <v>2</v>
      </c>
      <c r="F442" s="13">
        <v>2.0</v>
      </c>
      <c r="G442" s="13">
        <f t="array" ref="G442">IF(OR(D442="",E442=""),"",IFERROR(CHOOSE(MATCH(E442,{"S","M","L","-"},0),VLOOKUP(D442,Menu!$A$2:$F$105,3,0),VLOOKUP(D442,Menu!$A$2:$F$105,4,0),VLOOKUP(D442,Menu!$A$2:$F$105,5,0),VLOOKUP(D442,Menu!$A$2:$F$105,6,0)),"N/A"))</f>
        <v>59</v>
      </c>
      <c r="H442" s="13">
        <f t="shared" si="2"/>
        <v>118</v>
      </c>
      <c r="I442" s="13">
        <f t="shared" si="3"/>
        <v>998</v>
      </c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2">
        <v>45227.0</v>
      </c>
      <c r="B443" s="13" t="str">
        <f t="shared" si="1"/>
        <v>Saturday</v>
      </c>
      <c r="C443" s="13" t="str">
        <f>IF(D443="","",VLOOKUP(D443,Menu!$A$2:$B$105,2,0))</f>
        <v>Pizza</v>
      </c>
      <c r="D443" s="13" t="s">
        <v>17</v>
      </c>
      <c r="E443" s="13" t="s">
        <v>2</v>
      </c>
      <c r="F443" s="13">
        <v>1.0</v>
      </c>
      <c r="G443" s="13">
        <f t="array" ref="G443">IF(OR(D443="",E443=""),"",IFERROR(CHOOSE(MATCH(E443,{"S","M","L","-"},0),VLOOKUP(D443,Menu!$A$2:$F$105,3,0),VLOOKUP(D443,Menu!$A$2:$F$105,4,0),VLOOKUP(D443,Menu!$A$2:$F$105,5,0),VLOOKUP(D443,Menu!$A$2:$F$105,6,0)),"N/A"))</f>
        <v>109</v>
      </c>
      <c r="H443" s="13">
        <f t="shared" si="2"/>
        <v>109</v>
      </c>
      <c r="I443" s="13">
        <f t="shared" si="3"/>
        <v>998</v>
      </c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2">
        <v>45227.0</v>
      </c>
      <c r="B444" s="13" t="str">
        <f t="shared" si="1"/>
        <v>Saturday</v>
      </c>
      <c r="C444" s="13" t="str">
        <f>IF(D444="","",VLOOKUP(D444,Menu!$A$2:$B$105,2,0))</f>
        <v>Pizza</v>
      </c>
      <c r="D444" s="13" t="s">
        <v>23</v>
      </c>
      <c r="E444" s="13" t="s">
        <v>2</v>
      </c>
      <c r="F444" s="13">
        <v>1.0</v>
      </c>
      <c r="G444" s="13">
        <f t="array" ref="G444">IF(OR(D444="",E444=""),"",IFERROR(CHOOSE(MATCH(E444,{"S","M","L","-"},0),VLOOKUP(D444,Menu!$A$2:$F$105,3,0),VLOOKUP(D444,Menu!$A$2:$F$105,4,0),VLOOKUP(D444,Menu!$A$2:$F$105,5,0),VLOOKUP(D444,Menu!$A$2:$F$105,6,0)),"N/A"))</f>
        <v>129</v>
      </c>
      <c r="H444" s="13">
        <f t="shared" si="2"/>
        <v>129</v>
      </c>
      <c r="I444" s="13">
        <f t="shared" si="3"/>
        <v>998</v>
      </c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2">
        <v>45227.0</v>
      </c>
      <c r="B445" s="13" t="str">
        <f t="shared" si="1"/>
        <v>Saturday</v>
      </c>
      <c r="C445" s="13" t="str">
        <f>IF(D445="","",VLOOKUP(D445,Menu!$A$2:$B$105,2,0))</f>
        <v>Pizza</v>
      </c>
      <c r="D445" s="13" t="s">
        <v>9</v>
      </c>
      <c r="E445" s="13" t="s">
        <v>3</v>
      </c>
      <c r="F445" s="13">
        <v>1.0</v>
      </c>
      <c r="G445" s="13">
        <f t="array" ref="G445">IF(OR(D445="",E445=""),"",IFERROR(CHOOSE(MATCH(E445,{"S","M","L","-"},0),VLOOKUP(D445,Menu!$A$2:$F$105,3,0),VLOOKUP(D445,Menu!$A$2:$F$105,4,0),VLOOKUP(D445,Menu!$A$2:$F$105,5,0),VLOOKUP(D445,Menu!$A$2:$F$105,6,0)),"N/A"))</f>
        <v>109</v>
      </c>
      <c r="H445" s="13">
        <f t="shared" si="2"/>
        <v>109</v>
      </c>
      <c r="I445" s="13">
        <f t="shared" si="3"/>
        <v>998</v>
      </c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2">
        <v>45227.0</v>
      </c>
      <c r="B446" s="13" t="str">
        <f t="shared" si="1"/>
        <v>Saturday</v>
      </c>
      <c r="C446" s="13" t="str">
        <f>IF(D446="","",VLOOKUP(D446,Menu!$A$2:$B$105,2,0))</f>
        <v>Shake</v>
      </c>
      <c r="D446" s="13" t="s">
        <v>38</v>
      </c>
      <c r="E446" s="13" t="s">
        <v>5</v>
      </c>
      <c r="F446" s="13">
        <v>1.0</v>
      </c>
      <c r="G446" s="13">
        <f t="array" ref="G446">IF(OR(D446="",E446=""),"",IFERROR(CHOOSE(MATCH(E446,{"S","M","L","-"},0),VLOOKUP(D446,Menu!$A$2:$F$105,3,0),VLOOKUP(D446,Menu!$A$2:$F$105,4,0),VLOOKUP(D446,Menu!$A$2:$F$105,5,0),VLOOKUP(D446,Menu!$A$2:$F$105,6,0)),"N/A"))</f>
        <v>70</v>
      </c>
      <c r="H446" s="13">
        <f t="shared" si="2"/>
        <v>70</v>
      </c>
      <c r="I446" s="13">
        <f t="shared" si="3"/>
        <v>998</v>
      </c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2">
        <v>45227.0</v>
      </c>
      <c r="B447" s="13" t="str">
        <f t="shared" si="1"/>
        <v>Saturday</v>
      </c>
      <c r="C447" s="13" t="str">
        <f>IF(D447="","",VLOOKUP(D447,Menu!$A$2:$B$105,2,0))</f>
        <v>Pizza</v>
      </c>
      <c r="D447" s="13" t="s">
        <v>6</v>
      </c>
      <c r="E447" s="13" t="s">
        <v>2</v>
      </c>
      <c r="F447" s="13">
        <v>1.0</v>
      </c>
      <c r="G447" s="13">
        <f t="array" ref="G447">IF(OR(D447="",E447=""),"",IFERROR(CHOOSE(MATCH(E447,{"S","M","L","-"},0),VLOOKUP(D447,Menu!$A$2:$F$105,3,0),VLOOKUP(D447,Menu!$A$2:$F$105,4,0),VLOOKUP(D447,Menu!$A$2:$F$105,5,0),VLOOKUP(D447,Menu!$A$2:$F$105,6,0)),"N/A"))</f>
        <v>49</v>
      </c>
      <c r="H447" s="13">
        <f t="shared" si="2"/>
        <v>49</v>
      </c>
      <c r="I447" s="13">
        <f t="shared" si="3"/>
        <v>998</v>
      </c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2">
        <v>45227.0</v>
      </c>
      <c r="B448" s="13" t="str">
        <f t="shared" si="1"/>
        <v>Saturday</v>
      </c>
      <c r="C448" s="13" t="str">
        <f>IF(D448="","",VLOOKUP(D448,Menu!$A$2:$B$105,2,0))</f>
        <v>Pizza</v>
      </c>
      <c r="D448" s="13" t="s">
        <v>21</v>
      </c>
      <c r="E448" s="13" t="s">
        <v>2</v>
      </c>
      <c r="F448" s="13">
        <v>1.0</v>
      </c>
      <c r="G448" s="13">
        <f t="array" ref="G448">IF(OR(D448="",E448=""),"",IFERROR(CHOOSE(MATCH(E448,{"S","M","L","-"},0),VLOOKUP(D448,Menu!$A$2:$F$105,3,0),VLOOKUP(D448,Menu!$A$2:$F$105,4,0),VLOOKUP(D448,Menu!$A$2:$F$105,5,0),VLOOKUP(D448,Menu!$A$2:$F$105,6,0)),"N/A"))</f>
        <v>119</v>
      </c>
      <c r="H448" s="13">
        <f t="shared" si="2"/>
        <v>119</v>
      </c>
      <c r="I448" s="13">
        <f t="shared" si="3"/>
        <v>998</v>
      </c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9">
        <v>45228.0</v>
      </c>
      <c r="B449" s="10" t="str">
        <f t="shared" si="1"/>
        <v>Sunday</v>
      </c>
      <c r="C449" s="10" t="str">
        <f>IF(D449="","",VLOOKUP(D449,Menu!$A$2:$B$105,2,0))</f>
        <v>Burger</v>
      </c>
      <c r="D449" s="10" t="s">
        <v>27</v>
      </c>
      <c r="E449" s="10" t="s">
        <v>5</v>
      </c>
      <c r="F449" s="10">
        <v>2.0</v>
      </c>
      <c r="G449" s="10">
        <f t="array" ref="G449">IF(OR(D449="",E449=""),"",IFERROR(CHOOSE(MATCH(E449,{"S","M","L","-"},0),VLOOKUP(D449,Menu!$A$2:$F$105,3,0),VLOOKUP(D449,Menu!$A$2:$F$105,4,0),VLOOKUP(D449,Menu!$A$2:$F$105,5,0),VLOOKUP(D449,Menu!$A$2:$F$105,6,0)),"N/A"))</f>
        <v>39</v>
      </c>
      <c r="H449" s="10">
        <f t="shared" si="2"/>
        <v>78</v>
      </c>
      <c r="I449" s="10">
        <f t="shared" si="3"/>
        <v>3673</v>
      </c>
      <c r="J449" s="10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9">
        <v>45228.0</v>
      </c>
      <c r="B450" s="10" t="str">
        <f t="shared" si="1"/>
        <v>Sunday</v>
      </c>
      <c r="C450" s="10" t="str">
        <f>IF(D450="","",VLOOKUP(D450,Menu!$A$2:$B$105,2,0))</f>
        <v>Pizza</v>
      </c>
      <c r="D450" s="10" t="s">
        <v>15</v>
      </c>
      <c r="E450" s="10" t="s">
        <v>2</v>
      </c>
      <c r="F450" s="10">
        <v>32.0</v>
      </c>
      <c r="G450" s="10">
        <f t="array" ref="G450">IF(OR(D450="",E450=""),"",IFERROR(CHOOSE(MATCH(E450,{"S","M","L","-"},0),VLOOKUP(D450,Menu!$A$2:$F$105,3,0),VLOOKUP(D450,Menu!$A$2:$F$105,4,0),VLOOKUP(D450,Menu!$A$2:$F$105,5,0),VLOOKUP(D450,Menu!$A$2:$F$105,6,0)),"N/A"))</f>
        <v>99</v>
      </c>
      <c r="H450" s="10">
        <f t="shared" si="2"/>
        <v>3168</v>
      </c>
      <c r="I450" s="10">
        <f t="shared" si="3"/>
        <v>3673</v>
      </c>
      <c r="J450" s="10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9">
        <v>45228.0</v>
      </c>
      <c r="B451" s="10" t="str">
        <f t="shared" si="1"/>
        <v>Sunday</v>
      </c>
      <c r="C451" s="10" t="str">
        <f>IF(D451="","",VLOOKUP(D451,Menu!$A$2:$B$105,2,0))</f>
        <v>Combo</v>
      </c>
      <c r="D451" s="10" t="s">
        <v>57</v>
      </c>
      <c r="E451" s="10" t="s">
        <v>5</v>
      </c>
      <c r="F451" s="10">
        <v>1.0</v>
      </c>
      <c r="G451" s="10">
        <f t="array" ref="G451">IF(OR(D451="",E451=""),"",IFERROR(CHOOSE(MATCH(E451,{"S","M","L","-"},0),VLOOKUP(D451,Menu!$A$2:$F$105,3,0),VLOOKUP(D451,Menu!$A$2:$F$105,4,0),VLOOKUP(D451,Menu!$A$2:$F$105,5,0),VLOOKUP(D451,Menu!$A$2:$F$105,6,0)),"N/A"))</f>
        <v>149</v>
      </c>
      <c r="H451" s="10">
        <f t="shared" si="2"/>
        <v>149</v>
      </c>
      <c r="I451" s="10">
        <f t="shared" si="3"/>
        <v>3673</v>
      </c>
      <c r="J451" s="10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9">
        <v>45228.0</v>
      </c>
      <c r="B452" s="10" t="str">
        <f t="shared" si="1"/>
        <v>Sunday</v>
      </c>
      <c r="C452" s="10" t="str">
        <f>IF(D452="","",VLOOKUP(D452,Menu!$A$2:$B$105,2,0))</f>
        <v>Pizza</v>
      </c>
      <c r="D452" s="10" t="s">
        <v>23</v>
      </c>
      <c r="E452" s="10" t="s">
        <v>2</v>
      </c>
      <c r="F452" s="10">
        <v>1.0</v>
      </c>
      <c r="G452" s="10">
        <f t="array" ref="G452">IF(OR(D452="",E452=""),"",IFERROR(CHOOSE(MATCH(E452,{"S","M","L","-"},0),VLOOKUP(D452,Menu!$A$2:$F$105,3,0),VLOOKUP(D452,Menu!$A$2:$F$105,4,0),VLOOKUP(D452,Menu!$A$2:$F$105,5,0),VLOOKUP(D452,Menu!$A$2:$F$105,6,0)),"N/A"))</f>
        <v>129</v>
      </c>
      <c r="H452" s="10">
        <f t="shared" si="2"/>
        <v>129</v>
      </c>
      <c r="I452" s="10">
        <f t="shared" si="3"/>
        <v>3673</v>
      </c>
      <c r="J452" s="10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9">
        <v>45228.0</v>
      </c>
      <c r="B453" s="10" t="str">
        <f t="shared" si="1"/>
        <v>Sunday</v>
      </c>
      <c r="C453" s="10" t="str">
        <f>IF(D453="","",VLOOKUP(D453,Menu!$A$2:$B$105,2,0))</f>
        <v>Pizza</v>
      </c>
      <c r="D453" s="10" t="s">
        <v>24</v>
      </c>
      <c r="E453" s="10" t="s">
        <v>2</v>
      </c>
      <c r="F453" s="10">
        <v>1.0</v>
      </c>
      <c r="G453" s="10">
        <f t="array" ref="G453">IF(OR(D453="",E453=""),"",IFERROR(CHOOSE(MATCH(E453,{"S","M","L","-"},0),VLOOKUP(D453,Menu!$A$2:$F$105,3,0),VLOOKUP(D453,Menu!$A$2:$F$105,4,0),VLOOKUP(D453,Menu!$A$2:$F$105,5,0),VLOOKUP(D453,Menu!$A$2:$F$105,6,0)),"N/A"))</f>
        <v>149</v>
      </c>
      <c r="H453" s="10">
        <f t="shared" si="2"/>
        <v>149</v>
      </c>
      <c r="I453" s="10">
        <f t="shared" si="3"/>
        <v>3673</v>
      </c>
      <c r="J453" s="10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2">
        <v>45229.0</v>
      </c>
      <c r="B454" s="13" t="str">
        <f t="shared" si="1"/>
        <v>Monday</v>
      </c>
      <c r="C454" s="13" t="str">
        <f>IF(D454="","",VLOOKUP(D454,Menu!$A$2:$B$105,2,0))</f>
        <v>Burger</v>
      </c>
      <c r="D454" s="13" t="s">
        <v>27</v>
      </c>
      <c r="E454" s="13" t="s">
        <v>5</v>
      </c>
      <c r="F454" s="13">
        <v>2.0</v>
      </c>
      <c r="G454" s="13">
        <f t="array" ref="G454">IF(OR(D454="",E454=""),"",IFERROR(CHOOSE(MATCH(E454,{"S","M","L","-"},0),VLOOKUP(D454,Menu!$A$2:$F$105,3,0),VLOOKUP(D454,Menu!$A$2:$F$105,4,0),VLOOKUP(D454,Menu!$A$2:$F$105,5,0),VLOOKUP(D454,Menu!$A$2:$F$105,6,0)),"N/A"))</f>
        <v>39</v>
      </c>
      <c r="H454" s="13">
        <f t="shared" si="2"/>
        <v>78</v>
      </c>
      <c r="I454" s="13">
        <f t="shared" si="3"/>
        <v>344</v>
      </c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2">
        <v>45229.0</v>
      </c>
      <c r="B455" s="13" t="str">
        <f t="shared" si="1"/>
        <v>Monday</v>
      </c>
      <c r="C455" s="13" t="str">
        <f>IF(D455="","",VLOOKUP(D455,Menu!$A$2:$B$105,2,0))</f>
        <v>Pizza</v>
      </c>
      <c r="D455" s="13" t="s">
        <v>8</v>
      </c>
      <c r="E455" s="13" t="s">
        <v>2</v>
      </c>
      <c r="F455" s="13">
        <v>1.0</v>
      </c>
      <c r="G455" s="13">
        <f t="array" ref="G455">IF(OR(D455="",E455=""),"",IFERROR(CHOOSE(MATCH(E455,{"S","M","L","-"},0),VLOOKUP(D455,Menu!$A$2:$F$105,3,0),VLOOKUP(D455,Menu!$A$2:$F$105,4,0),VLOOKUP(D455,Menu!$A$2:$F$105,5,0),VLOOKUP(D455,Menu!$A$2:$F$105,6,0)),"N/A"))</f>
        <v>59</v>
      </c>
      <c r="H455" s="13">
        <f t="shared" si="2"/>
        <v>59</v>
      </c>
      <c r="I455" s="13">
        <f t="shared" si="3"/>
        <v>344</v>
      </c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2">
        <v>45229.0</v>
      </c>
      <c r="B456" s="13" t="str">
        <f t="shared" si="1"/>
        <v>Monday</v>
      </c>
      <c r="C456" s="13" t="str">
        <f>IF(D456="","",VLOOKUP(D456,Menu!$A$2:$B$105,2,0))</f>
        <v>Pizza</v>
      </c>
      <c r="D456" s="13" t="s">
        <v>6</v>
      </c>
      <c r="E456" s="13" t="s">
        <v>2</v>
      </c>
      <c r="F456" s="13">
        <v>2.0</v>
      </c>
      <c r="G456" s="13">
        <f t="array" ref="G456">IF(OR(D456="",E456=""),"",IFERROR(CHOOSE(MATCH(E456,{"S","M","L","-"},0),VLOOKUP(D456,Menu!$A$2:$F$105,3,0),VLOOKUP(D456,Menu!$A$2:$F$105,4,0),VLOOKUP(D456,Menu!$A$2:$F$105,5,0),VLOOKUP(D456,Menu!$A$2:$F$105,6,0)),"N/A"))</f>
        <v>49</v>
      </c>
      <c r="H456" s="13">
        <f t="shared" si="2"/>
        <v>98</v>
      </c>
      <c r="I456" s="13">
        <f t="shared" si="3"/>
        <v>344</v>
      </c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2">
        <v>45229.0</v>
      </c>
      <c r="B457" s="13" t="str">
        <f t="shared" si="1"/>
        <v>Monday</v>
      </c>
      <c r="C457" s="13" t="str">
        <f>IF(D457="","",VLOOKUP(D457,Menu!$A$2:$B$105,2,0))</f>
        <v>Pizza</v>
      </c>
      <c r="D457" s="13" t="s">
        <v>8</v>
      </c>
      <c r="E457" s="13" t="s">
        <v>3</v>
      </c>
      <c r="F457" s="13">
        <v>1.0</v>
      </c>
      <c r="G457" s="13">
        <f t="array" ref="G457">IF(OR(D457="",E457=""),"",IFERROR(CHOOSE(MATCH(E457,{"S","M","L","-"},0),VLOOKUP(D457,Menu!$A$2:$F$105,3,0),VLOOKUP(D457,Menu!$A$2:$F$105,4,0),VLOOKUP(D457,Menu!$A$2:$F$105,5,0),VLOOKUP(D457,Menu!$A$2:$F$105,6,0)),"N/A"))</f>
        <v>109</v>
      </c>
      <c r="H457" s="13">
        <f t="shared" si="2"/>
        <v>109</v>
      </c>
      <c r="I457" s="13">
        <f t="shared" si="3"/>
        <v>344</v>
      </c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9">
        <v>45230.0</v>
      </c>
      <c r="B458" s="10" t="str">
        <f t="shared" si="1"/>
        <v>Tuesday</v>
      </c>
      <c r="C458" s="10" t="str">
        <f>IF(D458="","",VLOOKUP(D458,Menu!$A$2:$B$105,2,0))</f>
        <v>Burger</v>
      </c>
      <c r="D458" s="10" t="s">
        <v>27</v>
      </c>
      <c r="E458" s="10" t="s">
        <v>5</v>
      </c>
      <c r="F458" s="10">
        <v>5.0</v>
      </c>
      <c r="G458" s="10">
        <f t="array" ref="G458">IF(OR(D458="",E458=""),"",IFERROR(CHOOSE(MATCH(E458,{"S","M","L","-"},0),VLOOKUP(D458,Menu!$A$2:$F$105,3,0),VLOOKUP(D458,Menu!$A$2:$F$105,4,0),VLOOKUP(D458,Menu!$A$2:$F$105,5,0),VLOOKUP(D458,Menu!$A$2:$F$105,6,0)),"N/A"))</f>
        <v>39</v>
      </c>
      <c r="H458" s="10">
        <f t="shared" si="2"/>
        <v>195</v>
      </c>
      <c r="I458" s="10">
        <f t="shared" si="3"/>
        <v>442</v>
      </c>
      <c r="J458" s="1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9">
        <v>45230.0</v>
      </c>
      <c r="B459" s="10" t="str">
        <f t="shared" si="1"/>
        <v>Tuesday</v>
      </c>
      <c r="C459" s="10" t="str">
        <f>IF(D459="","",VLOOKUP(D459,Menu!$A$2:$B$105,2,0))</f>
        <v>Pizza</v>
      </c>
      <c r="D459" s="10" t="s">
        <v>6</v>
      </c>
      <c r="E459" s="10" t="s">
        <v>2</v>
      </c>
      <c r="F459" s="10">
        <v>1.0</v>
      </c>
      <c r="G459" s="10">
        <f t="array" ref="G459">IF(OR(D459="",E459=""),"",IFERROR(CHOOSE(MATCH(E459,{"S","M","L","-"},0),VLOOKUP(D459,Menu!$A$2:$F$105,3,0),VLOOKUP(D459,Menu!$A$2:$F$105,4,0),VLOOKUP(D459,Menu!$A$2:$F$105,5,0),VLOOKUP(D459,Menu!$A$2:$F$105,6,0)),"N/A"))</f>
        <v>49</v>
      </c>
      <c r="H459" s="10">
        <f t="shared" si="2"/>
        <v>49</v>
      </c>
      <c r="I459" s="10">
        <f t="shared" si="3"/>
        <v>442</v>
      </c>
      <c r="J459" s="1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9">
        <v>45230.0</v>
      </c>
      <c r="B460" s="10" t="str">
        <f t="shared" si="1"/>
        <v>Tuesday</v>
      </c>
      <c r="C460" s="10" t="str">
        <f>IF(D460="","",VLOOKUP(D460,Menu!$A$2:$B$105,2,0))</f>
        <v>Pizza</v>
      </c>
      <c r="D460" s="10" t="s">
        <v>26</v>
      </c>
      <c r="E460" s="10" t="s">
        <v>5</v>
      </c>
      <c r="F460" s="10">
        <v>2.0</v>
      </c>
      <c r="G460" s="10">
        <f t="array" ref="G460">IF(OR(D460="",E460=""),"",IFERROR(CHOOSE(MATCH(E460,{"S","M","L","-"},0),VLOOKUP(D460,Menu!$A$2:$F$105,3,0),VLOOKUP(D460,Menu!$A$2:$F$105,4,0),VLOOKUP(D460,Menu!$A$2:$F$105,5,0),VLOOKUP(D460,Menu!$A$2:$F$105,6,0)),"N/A"))</f>
        <v>99</v>
      </c>
      <c r="H460" s="10">
        <f t="shared" si="2"/>
        <v>198</v>
      </c>
      <c r="I460" s="10">
        <f t="shared" si="3"/>
        <v>442</v>
      </c>
      <c r="J460" s="1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2">
        <v>45231.0</v>
      </c>
      <c r="B461" s="13" t="str">
        <f t="shared" si="1"/>
        <v>Wednesday</v>
      </c>
      <c r="C461" s="13" t="str">
        <f>IF(D461="","",VLOOKUP(D461,Menu!$A$2:$B$105,2,0))</f>
        <v>Burger</v>
      </c>
      <c r="D461" s="13" t="s">
        <v>27</v>
      </c>
      <c r="E461" s="13" t="s">
        <v>5</v>
      </c>
      <c r="F461" s="13">
        <v>2.0</v>
      </c>
      <c r="G461" s="13">
        <f t="array" ref="G461">IF(OR(D461="",E461=""),"",IFERROR(CHOOSE(MATCH(E461,{"S","M","L","-"},0),VLOOKUP(D461,Menu!$A$2:$F$105,3,0),VLOOKUP(D461,Menu!$A$2:$F$105,4,0),VLOOKUP(D461,Menu!$A$2:$F$105,5,0),VLOOKUP(D461,Menu!$A$2:$F$105,6,0)),"N/A"))</f>
        <v>39</v>
      </c>
      <c r="H461" s="13">
        <f t="shared" si="2"/>
        <v>78</v>
      </c>
      <c r="I461" s="13">
        <f t="shared" si="3"/>
        <v>446</v>
      </c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2">
        <v>45231.0</v>
      </c>
      <c r="B462" s="13" t="str">
        <f t="shared" si="1"/>
        <v>Wednesday</v>
      </c>
      <c r="C462" s="13" t="str">
        <f>IF(D462="","",VLOOKUP(D462,Menu!$A$2:$B$105,2,0))</f>
        <v>Burger</v>
      </c>
      <c r="D462" s="13" t="s">
        <v>66</v>
      </c>
      <c r="E462" s="13" t="s">
        <v>5</v>
      </c>
      <c r="F462" s="13">
        <v>6.0</v>
      </c>
      <c r="G462" s="13">
        <f t="array" ref="G462">IF(OR(D462="",E462=""),"",IFERROR(CHOOSE(MATCH(E462,{"S","M","L","-"},0),VLOOKUP(D462,Menu!$A$2:$F$105,3,0),VLOOKUP(D462,Menu!$A$2:$F$105,4,0),VLOOKUP(D462,Menu!$A$2:$F$105,5,0),VLOOKUP(D462,Menu!$A$2:$F$105,6,0)),"N/A"))</f>
        <v>5</v>
      </c>
      <c r="H462" s="13">
        <f t="shared" si="2"/>
        <v>30</v>
      </c>
      <c r="I462" s="13">
        <f t="shared" si="3"/>
        <v>446</v>
      </c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2">
        <v>45231.0</v>
      </c>
      <c r="B463" s="13" t="str">
        <f t="shared" si="1"/>
        <v>Wednesday</v>
      </c>
      <c r="C463" s="13" t="str">
        <f>IF(D463="","",VLOOKUP(D463,Menu!$A$2:$B$105,2,0))</f>
        <v>Pizza</v>
      </c>
      <c r="D463" s="13" t="s">
        <v>6</v>
      </c>
      <c r="E463" s="13" t="s">
        <v>2</v>
      </c>
      <c r="F463" s="13">
        <v>1.0</v>
      </c>
      <c r="G463" s="13">
        <f t="array" ref="G463">IF(OR(D463="",E463=""),"",IFERROR(CHOOSE(MATCH(E463,{"S","M","L","-"},0),VLOOKUP(D463,Menu!$A$2:$F$105,3,0),VLOOKUP(D463,Menu!$A$2:$F$105,4,0),VLOOKUP(D463,Menu!$A$2:$F$105,5,0),VLOOKUP(D463,Menu!$A$2:$F$105,6,0)),"N/A"))</f>
        <v>49</v>
      </c>
      <c r="H463" s="13">
        <f t="shared" si="2"/>
        <v>49</v>
      </c>
      <c r="I463" s="13">
        <f t="shared" si="3"/>
        <v>446</v>
      </c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2">
        <v>45231.0</v>
      </c>
      <c r="B464" s="13" t="str">
        <f t="shared" si="1"/>
        <v>Wednesday</v>
      </c>
      <c r="C464" s="13" t="str">
        <f>IF(D464="","",VLOOKUP(D464,Menu!$A$2:$B$105,2,0))</f>
        <v>Pizza</v>
      </c>
      <c r="D464" s="13" t="s">
        <v>16</v>
      </c>
      <c r="E464" s="13" t="s">
        <v>4</v>
      </c>
      <c r="F464" s="13">
        <v>1.0</v>
      </c>
      <c r="G464" s="13">
        <f t="array" ref="G464">IF(OR(D464="",E464=""),"",IFERROR(CHOOSE(MATCH(E464,{"S","M","L","-"},0),VLOOKUP(D464,Menu!$A$2:$F$105,3,0),VLOOKUP(D464,Menu!$A$2:$F$105,4,0),VLOOKUP(D464,Menu!$A$2:$F$105,5,0),VLOOKUP(D464,Menu!$A$2:$F$105,6,0)),"N/A"))</f>
        <v>289</v>
      </c>
      <c r="H464" s="13">
        <f t="shared" si="2"/>
        <v>289</v>
      </c>
      <c r="I464" s="13">
        <f t="shared" si="3"/>
        <v>446</v>
      </c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9">
        <v>45232.0</v>
      </c>
      <c r="B465" s="10" t="str">
        <f t="shared" si="1"/>
        <v>Thursday</v>
      </c>
      <c r="C465" s="10" t="str">
        <f>IF(D465="","",VLOOKUP(D465,Menu!$A$2:$B$105,2,0))</f>
        <v>Burger</v>
      </c>
      <c r="D465" s="10" t="s">
        <v>29</v>
      </c>
      <c r="E465" s="10" t="s">
        <v>5</v>
      </c>
      <c r="F465" s="10">
        <v>1.0</v>
      </c>
      <c r="G465" s="10">
        <f t="array" ref="G465">IF(OR(D465="",E465=""),"",IFERROR(CHOOSE(MATCH(E465,{"S","M","L","-"},0),VLOOKUP(D465,Menu!$A$2:$F$105,3,0),VLOOKUP(D465,Menu!$A$2:$F$105,4,0),VLOOKUP(D465,Menu!$A$2:$F$105,5,0),VLOOKUP(D465,Menu!$A$2:$F$105,6,0)),"N/A"))</f>
        <v>59</v>
      </c>
      <c r="H465" s="10">
        <f t="shared" si="2"/>
        <v>59</v>
      </c>
      <c r="I465" s="10">
        <f t="shared" si="3"/>
        <v>358</v>
      </c>
      <c r="J465" s="1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9">
        <v>45232.0</v>
      </c>
      <c r="B466" s="10" t="str">
        <f t="shared" si="1"/>
        <v>Thursday</v>
      </c>
      <c r="C466" s="10" t="str">
        <f>IF(D466="","",VLOOKUP(D466,Menu!$A$2:$B$105,2,0))</f>
        <v>Shake</v>
      </c>
      <c r="D466" s="10" t="s">
        <v>43</v>
      </c>
      <c r="E466" s="10" t="s">
        <v>5</v>
      </c>
      <c r="F466" s="10">
        <v>1.0</v>
      </c>
      <c r="G466" s="10">
        <f t="array" ref="G466">IF(OR(D466="",E466=""),"",IFERROR(CHOOSE(MATCH(E466,{"S","M","L","-"},0),VLOOKUP(D466,Menu!$A$2:$F$105,3,0),VLOOKUP(D466,Menu!$A$2:$F$105,4,0),VLOOKUP(D466,Menu!$A$2:$F$105,5,0),VLOOKUP(D466,Menu!$A$2:$F$105,6,0)),"N/A"))</f>
        <v>50</v>
      </c>
      <c r="H466" s="10">
        <f t="shared" si="2"/>
        <v>50</v>
      </c>
      <c r="I466" s="10">
        <f t="shared" si="3"/>
        <v>358</v>
      </c>
      <c r="J466" s="1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9">
        <v>45232.0</v>
      </c>
      <c r="B467" s="10" t="str">
        <f t="shared" si="1"/>
        <v>Thursday</v>
      </c>
      <c r="C467" s="10" t="str">
        <f>IF(D467="","",VLOOKUP(D467,Menu!$A$2:$B$105,2,0))</f>
        <v>Pizza</v>
      </c>
      <c r="D467" s="10" t="s">
        <v>24</v>
      </c>
      <c r="E467" s="10" t="s">
        <v>3</v>
      </c>
      <c r="F467" s="10">
        <v>1.0</v>
      </c>
      <c r="G467" s="10">
        <f t="array" ref="G467">IF(OR(D467="",E467=""),"",IFERROR(CHOOSE(MATCH(E467,{"S","M","L","-"},0),VLOOKUP(D467,Menu!$A$2:$F$105,3,0),VLOOKUP(D467,Menu!$A$2:$F$105,4,0),VLOOKUP(D467,Menu!$A$2:$F$105,5,0),VLOOKUP(D467,Menu!$A$2:$F$105,6,0)),"N/A"))</f>
        <v>249</v>
      </c>
      <c r="H467" s="10">
        <f t="shared" si="2"/>
        <v>249</v>
      </c>
      <c r="I467" s="10">
        <f t="shared" si="3"/>
        <v>358</v>
      </c>
      <c r="J467" s="1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2">
        <v>45233.0</v>
      </c>
      <c r="B468" s="13" t="str">
        <f t="shared" si="1"/>
        <v>Friday</v>
      </c>
      <c r="C468" s="13" t="str">
        <f>IF(D468="","",VLOOKUP(D468,Menu!$A$2:$B$105,2,0))</f>
        <v>Pizza</v>
      </c>
      <c r="D468" s="13" t="s">
        <v>8</v>
      </c>
      <c r="E468" s="13" t="s">
        <v>2</v>
      </c>
      <c r="F468" s="13">
        <v>2.0</v>
      </c>
      <c r="G468" s="13">
        <f t="array" ref="G468">IF(OR(D468="",E468=""),"",IFERROR(CHOOSE(MATCH(E468,{"S","M","L","-"},0),VLOOKUP(D468,Menu!$A$2:$F$105,3,0),VLOOKUP(D468,Menu!$A$2:$F$105,4,0),VLOOKUP(D468,Menu!$A$2:$F$105,5,0),VLOOKUP(D468,Menu!$A$2:$F$105,6,0)),"N/A"))</f>
        <v>59</v>
      </c>
      <c r="H468" s="13">
        <f t="shared" si="2"/>
        <v>118</v>
      </c>
      <c r="I468" s="13">
        <f t="shared" si="3"/>
        <v>663</v>
      </c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2">
        <v>45233.0</v>
      </c>
      <c r="B469" s="13" t="str">
        <f t="shared" si="1"/>
        <v>Friday</v>
      </c>
      <c r="C469" s="13" t="str">
        <f>IF(D469="","",VLOOKUP(D469,Menu!$A$2:$B$105,2,0))</f>
        <v>Shake</v>
      </c>
      <c r="D469" s="13" t="s">
        <v>46</v>
      </c>
      <c r="E469" s="13" t="s">
        <v>5</v>
      </c>
      <c r="F469" s="13">
        <v>2.0</v>
      </c>
      <c r="G469" s="13">
        <f t="array" ref="G469">IF(OR(D469="",E469=""),"",IFERROR(CHOOSE(MATCH(E469,{"S","M","L","-"},0),VLOOKUP(D469,Menu!$A$2:$F$105,3,0),VLOOKUP(D469,Menu!$A$2:$F$105,4,0),VLOOKUP(D469,Menu!$A$2:$F$105,5,0),VLOOKUP(D469,Menu!$A$2:$F$105,6,0)),"N/A"))</f>
        <v>50</v>
      </c>
      <c r="H469" s="13">
        <f t="shared" si="2"/>
        <v>100</v>
      </c>
      <c r="I469" s="13">
        <f t="shared" si="3"/>
        <v>663</v>
      </c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2">
        <v>45233.0</v>
      </c>
      <c r="B470" s="13" t="str">
        <f t="shared" si="1"/>
        <v>Friday</v>
      </c>
      <c r="C470" s="13" t="str">
        <f>IF(D470="","",VLOOKUP(D470,Menu!$A$2:$B$105,2,0))</f>
        <v>Pizza</v>
      </c>
      <c r="D470" s="13" t="s">
        <v>26</v>
      </c>
      <c r="E470" s="13" t="s">
        <v>5</v>
      </c>
      <c r="F470" s="13">
        <v>2.0</v>
      </c>
      <c r="G470" s="13">
        <f t="array" ref="G470">IF(OR(D470="",E470=""),"",IFERROR(CHOOSE(MATCH(E470,{"S","M","L","-"},0),VLOOKUP(D470,Menu!$A$2:$F$105,3,0),VLOOKUP(D470,Menu!$A$2:$F$105,4,0),VLOOKUP(D470,Menu!$A$2:$F$105,5,0),VLOOKUP(D470,Menu!$A$2:$F$105,6,0)),"N/A"))</f>
        <v>99</v>
      </c>
      <c r="H470" s="13">
        <f t="shared" si="2"/>
        <v>198</v>
      </c>
      <c r="I470" s="13">
        <f t="shared" si="3"/>
        <v>663</v>
      </c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2">
        <v>45233.0</v>
      </c>
      <c r="B471" s="13" t="str">
        <f t="shared" si="1"/>
        <v>Friday</v>
      </c>
      <c r="C471" s="13" t="str">
        <f>IF(D471="","",VLOOKUP(D471,Menu!$A$2:$B$105,2,0))</f>
        <v>Pizza</v>
      </c>
      <c r="D471" s="13" t="s">
        <v>6</v>
      </c>
      <c r="E471" s="13" t="s">
        <v>2</v>
      </c>
      <c r="F471" s="13">
        <v>2.0</v>
      </c>
      <c r="G471" s="13">
        <f t="array" ref="G471">IF(OR(D471="",E471=""),"",IFERROR(CHOOSE(MATCH(E471,{"S","M","L","-"},0),VLOOKUP(D471,Menu!$A$2:$F$105,3,0),VLOOKUP(D471,Menu!$A$2:$F$105,4,0),VLOOKUP(D471,Menu!$A$2:$F$105,5,0),VLOOKUP(D471,Menu!$A$2:$F$105,6,0)),"N/A"))</f>
        <v>49</v>
      </c>
      <c r="H471" s="13">
        <f t="shared" si="2"/>
        <v>98</v>
      </c>
      <c r="I471" s="13">
        <f t="shared" si="3"/>
        <v>663</v>
      </c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2">
        <v>45233.0</v>
      </c>
      <c r="B472" s="13" t="str">
        <f t="shared" si="1"/>
        <v>Friday</v>
      </c>
      <c r="C472" s="13" t="str">
        <f>IF(D472="","",VLOOKUP(D472,Menu!$A$2:$B$105,2,0))</f>
        <v>Combo</v>
      </c>
      <c r="D472" s="13" t="s">
        <v>57</v>
      </c>
      <c r="E472" s="13" t="s">
        <v>5</v>
      </c>
      <c r="F472" s="13">
        <v>1.0</v>
      </c>
      <c r="G472" s="13">
        <f t="array" ref="G472">IF(OR(D472="",E472=""),"",IFERROR(CHOOSE(MATCH(E472,{"S","M","L","-"},0),VLOOKUP(D472,Menu!$A$2:$F$105,3,0),VLOOKUP(D472,Menu!$A$2:$F$105,4,0),VLOOKUP(D472,Menu!$A$2:$F$105,5,0),VLOOKUP(D472,Menu!$A$2:$F$105,6,0)),"N/A"))</f>
        <v>149</v>
      </c>
      <c r="H472" s="13">
        <f t="shared" si="2"/>
        <v>149</v>
      </c>
      <c r="I472" s="13">
        <f t="shared" si="3"/>
        <v>663</v>
      </c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9">
        <v>45234.0</v>
      </c>
      <c r="B473" s="10" t="str">
        <f t="shared" si="1"/>
        <v>Saturday</v>
      </c>
      <c r="C473" s="10" t="str">
        <f>IF(D473="","",VLOOKUP(D473,Menu!$A$2:$B$105,2,0))</f>
        <v>Shake</v>
      </c>
      <c r="D473" s="10" t="s">
        <v>46</v>
      </c>
      <c r="E473" s="10" t="s">
        <v>5</v>
      </c>
      <c r="F473" s="10">
        <v>3.0</v>
      </c>
      <c r="G473" s="10">
        <f t="array" ref="G473">IF(OR(D473="",E473=""),"",IFERROR(CHOOSE(MATCH(E473,{"S","M","L","-"},0),VLOOKUP(D473,Menu!$A$2:$F$105,3,0),VLOOKUP(D473,Menu!$A$2:$F$105,4,0),VLOOKUP(D473,Menu!$A$2:$F$105,5,0),VLOOKUP(D473,Menu!$A$2:$F$105,6,0)),"N/A"))</f>
        <v>50</v>
      </c>
      <c r="H473" s="10">
        <f t="shared" si="2"/>
        <v>150</v>
      </c>
      <c r="I473" s="10">
        <f t="shared" si="3"/>
        <v>1157</v>
      </c>
      <c r="J473" s="10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9">
        <v>45234.0</v>
      </c>
      <c r="B474" s="10" t="str">
        <f t="shared" si="1"/>
        <v>Saturday</v>
      </c>
      <c r="C474" s="10" t="str">
        <f>IF(D474="","",VLOOKUP(D474,Menu!$A$2:$B$105,2,0))</f>
        <v>Pizza</v>
      </c>
      <c r="D474" s="10" t="s">
        <v>8</v>
      </c>
      <c r="E474" s="10" t="s">
        <v>2</v>
      </c>
      <c r="F474" s="10">
        <v>2.0</v>
      </c>
      <c r="G474" s="10">
        <f t="array" ref="G474">IF(OR(D474="",E474=""),"",IFERROR(CHOOSE(MATCH(E474,{"S","M","L","-"},0),VLOOKUP(D474,Menu!$A$2:$F$105,3,0),VLOOKUP(D474,Menu!$A$2:$F$105,4,0),VLOOKUP(D474,Menu!$A$2:$F$105,5,0),VLOOKUP(D474,Menu!$A$2:$F$105,6,0)),"N/A"))</f>
        <v>59</v>
      </c>
      <c r="H474" s="10">
        <f t="shared" si="2"/>
        <v>118</v>
      </c>
      <c r="I474" s="10">
        <f t="shared" si="3"/>
        <v>1157</v>
      </c>
      <c r="J474" s="10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9">
        <v>45234.0</v>
      </c>
      <c r="B475" s="10" t="str">
        <f t="shared" si="1"/>
        <v>Saturday</v>
      </c>
      <c r="C475" s="10" t="str">
        <f>IF(D475="","",VLOOKUP(D475,Menu!$A$2:$B$105,2,0))</f>
        <v>Burger</v>
      </c>
      <c r="D475" s="10" t="s">
        <v>29</v>
      </c>
      <c r="E475" s="10" t="s">
        <v>5</v>
      </c>
      <c r="F475" s="10">
        <v>3.0</v>
      </c>
      <c r="G475" s="10">
        <f t="array" ref="G475">IF(OR(D475="",E475=""),"",IFERROR(CHOOSE(MATCH(E475,{"S","M","L","-"},0),VLOOKUP(D475,Menu!$A$2:$F$105,3,0),VLOOKUP(D475,Menu!$A$2:$F$105,4,0),VLOOKUP(D475,Menu!$A$2:$F$105,5,0),VLOOKUP(D475,Menu!$A$2:$F$105,6,0)),"N/A"))</f>
        <v>59</v>
      </c>
      <c r="H475" s="10">
        <f t="shared" si="2"/>
        <v>177</v>
      </c>
      <c r="I475" s="10">
        <f t="shared" si="3"/>
        <v>1157</v>
      </c>
      <c r="J475" s="10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9">
        <v>45234.0</v>
      </c>
      <c r="B476" s="10" t="str">
        <f t="shared" si="1"/>
        <v>Saturday</v>
      </c>
      <c r="C476" s="10" t="str">
        <f>IF(D476="","",VLOOKUP(D476,Menu!$A$2:$B$105,2,0))</f>
        <v>Pizza</v>
      </c>
      <c r="D476" s="10" t="s">
        <v>10</v>
      </c>
      <c r="E476" s="10" t="s">
        <v>2</v>
      </c>
      <c r="F476" s="10">
        <v>1.0</v>
      </c>
      <c r="G476" s="10">
        <f t="array" ref="G476">IF(OR(D476="",E476=""),"",IFERROR(CHOOSE(MATCH(E476,{"S","M","L","-"},0),VLOOKUP(D476,Menu!$A$2:$F$105,3,0),VLOOKUP(D476,Menu!$A$2:$F$105,4,0),VLOOKUP(D476,Menu!$A$2:$F$105,5,0),VLOOKUP(D476,Menu!$A$2:$F$105,6,0)),"N/A"))</f>
        <v>59</v>
      </c>
      <c r="H476" s="10">
        <f t="shared" si="2"/>
        <v>59</v>
      </c>
      <c r="I476" s="10">
        <f t="shared" si="3"/>
        <v>1157</v>
      </c>
      <c r="J476" s="10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9">
        <v>45234.0</v>
      </c>
      <c r="B477" s="10" t="str">
        <f t="shared" si="1"/>
        <v>Saturday</v>
      </c>
      <c r="C477" s="10" t="str">
        <f>IF(D477="","",VLOOKUP(D477,Menu!$A$2:$B$105,2,0))</f>
        <v>Burger</v>
      </c>
      <c r="D477" s="10" t="s">
        <v>27</v>
      </c>
      <c r="E477" s="10" t="s">
        <v>5</v>
      </c>
      <c r="F477" s="10">
        <v>1.0</v>
      </c>
      <c r="G477" s="10">
        <f t="array" ref="G477">IF(OR(D477="",E477=""),"",IFERROR(CHOOSE(MATCH(E477,{"S","M","L","-"},0),VLOOKUP(D477,Menu!$A$2:$F$105,3,0),VLOOKUP(D477,Menu!$A$2:$F$105,4,0),VLOOKUP(D477,Menu!$A$2:$F$105,5,0),VLOOKUP(D477,Menu!$A$2:$F$105,6,0)),"N/A"))</f>
        <v>39</v>
      </c>
      <c r="H477" s="10">
        <f t="shared" si="2"/>
        <v>39</v>
      </c>
      <c r="I477" s="10">
        <f t="shared" si="3"/>
        <v>1157</v>
      </c>
      <c r="J477" s="10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9">
        <v>45234.0</v>
      </c>
      <c r="B478" s="10" t="str">
        <f t="shared" si="1"/>
        <v>Saturday</v>
      </c>
      <c r="C478" s="10" t="str">
        <f>IF(D478="","",VLOOKUP(D478,Menu!$A$2:$B$105,2,0))</f>
        <v>Pizza</v>
      </c>
      <c r="D478" s="10" t="s">
        <v>9</v>
      </c>
      <c r="E478" s="10" t="s">
        <v>3</v>
      </c>
      <c r="F478" s="10">
        <v>1.0</v>
      </c>
      <c r="G478" s="10">
        <f t="array" ref="G478">IF(OR(D478="",E478=""),"",IFERROR(CHOOSE(MATCH(E478,{"S","M","L","-"},0),VLOOKUP(D478,Menu!$A$2:$F$105,3,0),VLOOKUP(D478,Menu!$A$2:$F$105,4,0),VLOOKUP(D478,Menu!$A$2:$F$105,5,0),VLOOKUP(D478,Menu!$A$2:$F$105,6,0)),"N/A"))</f>
        <v>109</v>
      </c>
      <c r="H478" s="10">
        <f t="shared" si="2"/>
        <v>109</v>
      </c>
      <c r="I478" s="10">
        <f t="shared" si="3"/>
        <v>1157</v>
      </c>
      <c r="J478" s="10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9">
        <v>45234.0</v>
      </c>
      <c r="B479" s="10" t="str">
        <f t="shared" si="1"/>
        <v>Saturday</v>
      </c>
      <c r="C479" s="10" t="str">
        <f>IF(D479="","",VLOOKUP(D479,Menu!$A$2:$B$105,2,0))</f>
        <v>Pizza</v>
      </c>
      <c r="D479" s="10" t="s">
        <v>13</v>
      </c>
      <c r="E479" s="10" t="s">
        <v>2</v>
      </c>
      <c r="F479" s="10">
        <v>1.0</v>
      </c>
      <c r="G479" s="10">
        <f t="array" ref="G479">IF(OR(D479="",E479=""),"",IFERROR(CHOOSE(MATCH(E479,{"S","M","L","-"},0),VLOOKUP(D479,Menu!$A$2:$F$105,3,0),VLOOKUP(D479,Menu!$A$2:$F$105,4,0),VLOOKUP(D479,Menu!$A$2:$F$105,5,0),VLOOKUP(D479,Menu!$A$2:$F$105,6,0)),"N/A"))</f>
        <v>79</v>
      </c>
      <c r="H479" s="10">
        <f t="shared" si="2"/>
        <v>79</v>
      </c>
      <c r="I479" s="10">
        <f t="shared" si="3"/>
        <v>1157</v>
      </c>
      <c r="J479" s="10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9">
        <v>45234.0</v>
      </c>
      <c r="B480" s="10" t="str">
        <f t="shared" si="1"/>
        <v>Saturday</v>
      </c>
      <c r="C480" s="10" t="str">
        <f>IF(D480="","",VLOOKUP(D480,Menu!$A$2:$B$105,2,0))</f>
        <v>Pizza</v>
      </c>
      <c r="D480" s="10" t="s">
        <v>12</v>
      </c>
      <c r="E480" s="10" t="s">
        <v>2</v>
      </c>
      <c r="F480" s="10">
        <v>1.0</v>
      </c>
      <c r="G480" s="10">
        <f t="array" ref="G480">IF(OR(D480="",E480=""),"",IFERROR(CHOOSE(MATCH(E480,{"S","M","L","-"},0),VLOOKUP(D480,Menu!$A$2:$F$105,3,0),VLOOKUP(D480,Menu!$A$2:$F$105,4,0),VLOOKUP(D480,Menu!$A$2:$F$105,5,0),VLOOKUP(D480,Menu!$A$2:$F$105,6,0)),"N/A"))</f>
        <v>79</v>
      </c>
      <c r="H480" s="10">
        <f t="shared" si="2"/>
        <v>79</v>
      </c>
      <c r="I480" s="10">
        <f t="shared" si="3"/>
        <v>1157</v>
      </c>
      <c r="J480" s="10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9">
        <v>45234.0</v>
      </c>
      <c r="B481" s="10" t="str">
        <f t="shared" si="1"/>
        <v>Saturday</v>
      </c>
      <c r="C481" s="10" t="str">
        <f>IF(D481="","",VLOOKUP(D481,Menu!$A$2:$B$105,2,0))</f>
        <v>Pizza</v>
      </c>
      <c r="D481" s="10" t="s">
        <v>15</v>
      </c>
      <c r="E481" s="10" t="s">
        <v>2</v>
      </c>
      <c r="F481" s="10">
        <v>1.0</v>
      </c>
      <c r="G481" s="10">
        <f t="array" ref="G481">IF(OR(D481="",E481=""),"",IFERROR(CHOOSE(MATCH(E481,{"S","M","L","-"},0),VLOOKUP(D481,Menu!$A$2:$F$105,3,0),VLOOKUP(D481,Menu!$A$2:$F$105,4,0),VLOOKUP(D481,Menu!$A$2:$F$105,5,0),VLOOKUP(D481,Menu!$A$2:$F$105,6,0)),"N/A"))</f>
        <v>99</v>
      </c>
      <c r="H481" s="10">
        <f t="shared" si="2"/>
        <v>99</v>
      </c>
      <c r="I481" s="10">
        <f t="shared" si="3"/>
        <v>1157</v>
      </c>
      <c r="J481" s="10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9">
        <v>45234.0</v>
      </c>
      <c r="B482" s="10" t="str">
        <f t="shared" si="1"/>
        <v>Saturday</v>
      </c>
      <c r="C482" s="10" t="str">
        <f>IF(D482="","",VLOOKUP(D482,Menu!$A$2:$B$105,2,0))</f>
        <v>Pizza</v>
      </c>
      <c r="D482" s="10" t="s">
        <v>6</v>
      </c>
      <c r="E482" s="10" t="s">
        <v>2</v>
      </c>
      <c r="F482" s="10">
        <v>1.0</v>
      </c>
      <c r="G482" s="10">
        <f t="array" ref="G482">IF(OR(D482="",E482=""),"",IFERROR(CHOOSE(MATCH(E482,{"S","M","L","-"},0),VLOOKUP(D482,Menu!$A$2:$F$105,3,0),VLOOKUP(D482,Menu!$A$2:$F$105,4,0),VLOOKUP(D482,Menu!$A$2:$F$105,5,0),VLOOKUP(D482,Menu!$A$2:$F$105,6,0)),"N/A"))</f>
        <v>49</v>
      </c>
      <c r="H482" s="10">
        <f t="shared" si="2"/>
        <v>49</v>
      </c>
      <c r="I482" s="10">
        <f t="shared" si="3"/>
        <v>1157</v>
      </c>
      <c r="J482" s="10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9">
        <v>45234.0</v>
      </c>
      <c r="B483" s="10" t="str">
        <f t="shared" si="1"/>
        <v>Saturday</v>
      </c>
      <c r="C483" s="10" t="str">
        <f>IF(D483="","",VLOOKUP(D483,Menu!$A$2:$B$105,2,0))</f>
        <v>Pizza</v>
      </c>
      <c r="D483" s="10" t="s">
        <v>16</v>
      </c>
      <c r="E483" s="10" t="s">
        <v>3</v>
      </c>
      <c r="F483" s="10">
        <v>1.0</v>
      </c>
      <c r="G483" s="10">
        <f t="array" ref="G483">IF(OR(D483="",E483=""),"",IFERROR(CHOOSE(MATCH(E483,{"S","M","L","-"},0),VLOOKUP(D483,Menu!$A$2:$F$105,3,0),VLOOKUP(D483,Menu!$A$2:$F$105,4,0),VLOOKUP(D483,Menu!$A$2:$F$105,5,0),VLOOKUP(D483,Menu!$A$2:$F$105,6,0)),"N/A"))</f>
        <v>199</v>
      </c>
      <c r="H483" s="10">
        <f t="shared" si="2"/>
        <v>199</v>
      </c>
      <c r="I483" s="10">
        <f t="shared" si="3"/>
        <v>1157</v>
      </c>
      <c r="J483" s="10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2">
        <v>45235.0</v>
      </c>
      <c r="B484" s="13" t="str">
        <f t="shared" si="1"/>
        <v>Sunday</v>
      </c>
      <c r="C484" s="13" t="str">
        <f>IF(D484="","",VLOOKUP(D484,Menu!$A$2:$B$105,2,0))</f>
        <v>Pizza</v>
      </c>
      <c r="D484" s="13" t="s">
        <v>23</v>
      </c>
      <c r="E484" s="13" t="s">
        <v>4</v>
      </c>
      <c r="F484" s="13">
        <v>1.0</v>
      </c>
      <c r="G484" s="13">
        <f t="array" ref="G484">IF(OR(D484="",E484=""),"",IFERROR(CHOOSE(MATCH(E484,{"S","M","L","-"},0),VLOOKUP(D484,Menu!$A$2:$F$105,3,0),VLOOKUP(D484,Menu!$A$2:$F$105,4,0),VLOOKUP(D484,Menu!$A$2:$F$105,5,0),VLOOKUP(D484,Menu!$A$2:$F$105,6,0)),"N/A"))</f>
        <v>339</v>
      </c>
      <c r="H484" s="13">
        <f t="shared" si="2"/>
        <v>339</v>
      </c>
      <c r="I484" s="13">
        <f t="shared" si="3"/>
        <v>1658</v>
      </c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2">
        <v>45235.0</v>
      </c>
      <c r="B485" s="13" t="str">
        <f t="shared" si="1"/>
        <v>Sunday</v>
      </c>
      <c r="C485" s="13" t="str">
        <f>IF(D485="","",VLOOKUP(D485,Menu!$A$2:$B$105,2,0))</f>
        <v>Add-on</v>
      </c>
      <c r="D485" s="13" t="s">
        <v>67</v>
      </c>
      <c r="E485" s="13" t="s">
        <v>5</v>
      </c>
      <c r="F485" s="13">
        <v>1.0</v>
      </c>
      <c r="G485" s="13">
        <f t="array" ref="G485">IF(OR(D485="",E485=""),"",IFERROR(CHOOSE(MATCH(E485,{"S","M","L","-"},0),VLOOKUP(D485,Menu!$A$2:$F$105,3,0),VLOOKUP(D485,Menu!$A$2:$F$105,4,0),VLOOKUP(D485,Menu!$A$2:$F$105,5,0),VLOOKUP(D485,Menu!$A$2:$F$105,6,0)),"N/A"))</f>
        <v>40</v>
      </c>
      <c r="H485" s="13">
        <f t="shared" si="2"/>
        <v>40</v>
      </c>
      <c r="I485" s="13">
        <f t="shared" si="3"/>
        <v>1658</v>
      </c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2">
        <v>45235.0</v>
      </c>
      <c r="B486" s="13" t="str">
        <f t="shared" si="1"/>
        <v>Sunday</v>
      </c>
      <c r="C486" s="13" t="str">
        <f>IF(D486="","",VLOOKUP(D486,Menu!$A$2:$B$105,2,0))</f>
        <v>Pizza</v>
      </c>
      <c r="D486" s="13" t="s">
        <v>15</v>
      </c>
      <c r="E486" s="13" t="s">
        <v>2</v>
      </c>
      <c r="F486" s="13">
        <v>1.0</v>
      </c>
      <c r="G486" s="13">
        <f t="array" ref="G486">IF(OR(D486="",E486=""),"",IFERROR(CHOOSE(MATCH(E486,{"S","M","L","-"},0),VLOOKUP(D486,Menu!$A$2:$F$105,3,0),VLOOKUP(D486,Menu!$A$2:$F$105,4,0),VLOOKUP(D486,Menu!$A$2:$F$105,5,0),VLOOKUP(D486,Menu!$A$2:$F$105,6,0)),"N/A"))</f>
        <v>99</v>
      </c>
      <c r="H486" s="13">
        <f t="shared" si="2"/>
        <v>99</v>
      </c>
      <c r="I486" s="13">
        <f t="shared" si="3"/>
        <v>1658</v>
      </c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2">
        <v>45235.0</v>
      </c>
      <c r="B487" s="13" t="str">
        <f t="shared" si="1"/>
        <v>Sunday</v>
      </c>
      <c r="C487" s="13" t="str">
        <f>IF(D487="","",VLOOKUP(D487,Menu!$A$2:$B$105,2,0))</f>
        <v>Pizza</v>
      </c>
      <c r="D487" s="13" t="s">
        <v>19</v>
      </c>
      <c r="E487" s="13" t="s">
        <v>2</v>
      </c>
      <c r="F487" s="13">
        <v>1.0</v>
      </c>
      <c r="G487" s="13">
        <f t="array" ref="G487">IF(OR(D487="",E487=""),"",IFERROR(CHOOSE(MATCH(E487,{"S","M","L","-"},0),VLOOKUP(D487,Menu!$A$2:$F$105,3,0),VLOOKUP(D487,Menu!$A$2:$F$105,4,0),VLOOKUP(D487,Menu!$A$2:$F$105,5,0),VLOOKUP(D487,Menu!$A$2:$F$105,6,0)),"N/A"))</f>
        <v>109</v>
      </c>
      <c r="H487" s="13">
        <f t="shared" si="2"/>
        <v>109</v>
      </c>
      <c r="I487" s="13">
        <f t="shared" si="3"/>
        <v>1658</v>
      </c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2">
        <v>45235.0</v>
      </c>
      <c r="B488" s="13" t="str">
        <f t="shared" si="1"/>
        <v>Sunday</v>
      </c>
      <c r="C488" s="13" t="str">
        <f>IF(D488="","",VLOOKUP(D488,Menu!$A$2:$B$105,2,0))</f>
        <v>Burger</v>
      </c>
      <c r="D488" s="13" t="s">
        <v>27</v>
      </c>
      <c r="E488" s="13" t="s">
        <v>5</v>
      </c>
      <c r="F488" s="13">
        <v>4.0</v>
      </c>
      <c r="G488" s="13">
        <f t="array" ref="G488">IF(OR(D488="",E488=""),"",IFERROR(CHOOSE(MATCH(E488,{"S","M","L","-"},0),VLOOKUP(D488,Menu!$A$2:$F$105,3,0),VLOOKUP(D488,Menu!$A$2:$F$105,4,0),VLOOKUP(D488,Menu!$A$2:$F$105,5,0),VLOOKUP(D488,Menu!$A$2:$F$105,6,0)),"N/A"))</f>
        <v>39</v>
      </c>
      <c r="H488" s="13">
        <f t="shared" si="2"/>
        <v>156</v>
      </c>
      <c r="I488" s="13">
        <f t="shared" si="3"/>
        <v>1658</v>
      </c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2">
        <v>45235.0</v>
      </c>
      <c r="B489" s="13" t="str">
        <f t="shared" si="1"/>
        <v>Sunday</v>
      </c>
      <c r="C489" s="13" t="str">
        <f>IF(D489="","",VLOOKUP(D489,Menu!$A$2:$B$105,2,0))</f>
        <v>Pizza</v>
      </c>
      <c r="D489" s="13" t="s">
        <v>15</v>
      </c>
      <c r="E489" s="13" t="s">
        <v>4</v>
      </c>
      <c r="F489" s="13">
        <v>2.0</v>
      </c>
      <c r="G489" s="13">
        <f t="array" ref="G489">IF(OR(D489="",E489=""),"",IFERROR(CHOOSE(MATCH(E489,{"S","M","L","-"},0),VLOOKUP(D489,Menu!$A$2:$F$105,3,0),VLOOKUP(D489,Menu!$A$2:$F$105,4,0),VLOOKUP(D489,Menu!$A$2:$F$105,5,0),VLOOKUP(D489,Menu!$A$2:$F$105,6,0)),"N/A"))</f>
        <v>249</v>
      </c>
      <c r="H489" s="13">
        <f t="shared" si="2"/>
        <v>498</v>
      </c>
      <c r="I489" s="13">
        <f t="shared" si="3"/>
        <v>1658</v>
      </c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2">
        <v>45235.0</v>
      </c>
      <c r="B490" s="13" t="str">
        <f t="shared" si="1"/>
        <v>Sunday</v>
      </c>
      <c r="C490" s="13" t="str">
        <f>IF(D490="","",VLOOKUP(D490,Menu!$A$2:$B$105,2,0))</f>
        <v>Add-on</v>
      </c>
      <c r="D490" s="13" t="s">
        <v>69</v>
      </c>
      <c r="E490" s="13" t="s">
        <v>5</v>
      </c>
      <c r="F490" s="13">
        <v>1.0</v>
      </c>
      <c r="G490" s="13">
        <f t="array" ref="G490">IF(OR(D490="",E490=""),"",IFERROR(CHOOSE(MATCH(E490,{"S","M","L","-"},0),VLOOKUP(D490,Menu!$A$2:$F$105,3,0),VLOOKUP(D490,Menu!$A$2:$F$105,4,0),VLOOKUP(D490,Menu!$A$2:$F$105,5,0),VLOOKUP(D490,Menu!$A$2:$F$105,6,0)),"N/A"))</f>
        <v>20</v>
      </c>
      <c r="H490" s="13">
        <f t="shared" si="2"/>
        <v>20</v>
      </c>
      <c r="I490" s="13">
        <f t="shared" si="3"/>
        <v>1658</v>
      </c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2">
        <v>45235.0</v>
      </c>
      <c r="B491" s="13" t="str">
        <f t="shared" si="1"/>
        <v>Sunday</v>
      </c>
      <c r="C491" s="13" t="str">
        <f>IF(D491="","",VLOOKUP(D491,Menu!$A$2:$B$105,2,0))</f>
        <v>Pizza</v>
      </c>
      <c r="D491" s="13" t="s">
        <v>19</v>
      </c>
      <c r="E491" s="13" t="s">
        <v>4</v>
      </c>
      <c r="F491" s="13">
        <v>1.0</v>
      </c>
      <c r="G491" s="13">
        <f t="array" ref="G491">IF(OR(D491="",E491=""),"",IFERROR(CHOOSE(MATCH(E491,{"S","M","L","-"},0),VLOOKUP(D491,Menu!$A$2:$F$105,3,0),VLOOKUP(D491,Menu!$A$2:$F$105,4,0),VLOOKUP(D491,Menu!$A$2:$F$105,5,0),VLOOKUP(D491,Menu!$A$2:$F$105,6,0)),"N/A"))</f>
        <v>289</v>
      </c>
      <c r="H491" s="13">
        <f t="shared" si="2"/>
        <v>289</v>
      </c>
      <c r="I491" s="13">
        <f t="shared" si="3"/>
        <v>1658</v>
      </c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2">
        <v>45235.0</v>
      </c>
      <c r="B492" s="13" t="str">
        <f t="shared" si="1"/>
        <v>Sunday</v>
      </c>
      <c r="C492" s="13" t="str">
        <f>IF(D492="","",VLOOKUP(D492,Menu!$A$2:$B$105,2,0))</f>
        <v>Burger</v>
      </c>
      <c r="D492" s="13" t="s">
        <v>29</v>
      </c>
      <c r="E492" s="13" t="s">
        <v>5</v>
      </c>
      <c r="F492" s="13">
        <v>1.0</v>
      </c>
      <c r="G492" s="13">
        <f t="array" ref="G492">IF(OR(D492="",E492=""),"",IFERROR(CHOOSE(MATCH(E492,{"S","M","L","-"},0),VLOOKUP(D492,Menu!$A$2:$F$105,3,0),VLOOKUP(D492,Menu!$A$2:$F$105,4,0),VLOOKUP(D492,Menu!$A$2:$F$105,5,0),VLOOKUP(D492,Menu!$A$2:$F$105,6,0)),"N/A"))</f>
        <v>59</v>
      </c>
      <c r="H492" s="13">
        <f t="shared" si="2"/>
        <v>59</v>
      </c>
      <c r="I492" s="13">
        <f t="shared" si="3"/>
        <v>1658</v>
      </c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2">
        <v>45235.0</v>
      </c>
      <c r="B493" s="13" t="str">
        <f t="shared" si="1"/>
        <v>Sunday</v>
      </c>
      <c r="C493" s="13" t="str">
        <f>IF(D493="","",VLOOKUP(D493,Menu!$A$2:$B$105,2,0))</f>
        <v>Pizza</v>
      </c>
      <c r="D493" s="13" t="s">
        <v>6</v>
      </c>
      <c r="E493" s="13" t="s">
        <v>2</v>
      </c>
      <c r="F493" s="13">
        <v>1.0</v>
      </c>
      <c r="G493" s="13">
        <f t="array" ref="G493">IF(OR(D493="",E493=""),"",IFERROR(CHOOSE(MATCH(E493,{"S","M","L","-"},0),VLOOKUP(D493,Menu!$A$2:$F$105,3,0),VLOOKUP(D493,Menu!$A$2:$F$105,4,0),VLOOKUP(D493,Menu!$A$2:$F$105,5,0),VLOOKUP(D493,Menu!$A$2:$F$105,6,0)),"N/A"))</f>
        <v>49</v>
      </c>
      <c r="H493" s="13">
        <f t="shared" si="2"/>
        <v>49</v>
      </c>
      <c r="I493" s="13">
        <f t="shared" si="3"/>
        <v>1658</v>
      </c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9">
        <v>45236.0</v>
      </c>
      <c r="B494" s="10" t="str">
        <f t="shared" si="1"/>
        <v>Monday</v>
      </c>
      <c r="C494" s="10" t="str">
        <f>IF(D494="","",VLOOKUP(D494,Menu!$A$2:$B$105,2,0))</f>
        <v>Pizza</v>
      </c>
      <c r="D494" s="10" t="s">
        <v>15</v>
      </c>
      <c r="E494" s="10" t="s">
        <v>4</v>
      </c>
      <c r="F494" s="10">
        <v>1.0</v>
      </c>
      <c r="G494" s="10">
        <f t="array" ref="G494">IF(OR(D494="",E494=""),"",IFERROR(CHOOSE(MATCH(E494,{"S","M","L","-"},0),VLOOKUP(D494,Menu!$A$2:$F$105,3,0),VLOOKUP(D494,Menu!$A$2:$F$105,4,0),VLOOKUP(D494,Menu!$A$2:$F$105,5,0),VLOOKUP(D494,Menu!$A$2:$F$105,6,0)),"N/A"))</f>
        <v>249</v>
      </c>
      <c r="H494" s="10">
        <f t="shared" si="2"/>
        <v>249</v>
      </c>
      <c r="I494" s="10">
        <f t="shared" ref="I494:I999" si="4">IF(A494="","",SUMIF($A$3:$A$2048,A494,$H$3:$H$2048))</f>
        <v>840</v>
      </c>
      <c r="J494" s="1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9">
        <v>45236.0</v>
      </c>
      <c r="B495" s="10" t="str">
        <f t="shared" si="1"/>
        <v>Monday</v>
      </c>
      <c r="C495" s="10" t="str">
        <f>IF(D495="","",VLOOKUP(D495,Menu!$A$2:$B$105,2,0))</f>
        <v>Pizza</v>
      </c>
      <c r="D495" s="10" t="s">
        <v>17</v>
      </c>
      <c r="E495" s="10" t="s">
        <v>3</v>
      </c>
      <c r="F495" s="10">
        <v>1.0</v>
      </c>
      <c r="G495" s="10">
        <f t="array" ref="G495">IF(OR(D495="",E495=""),"",IFERROR(CHOOSE(MATCH(E495,{"S","M","L","-"},0),VLOOKUP(D495,Menu!$A$2:$F$105,3,0),VLOOKUP(D495,Menu!$A$2:$F$105,4,0),VLOOKUP(D495,Menu!$A$2:$F$105,5,0),VLOOKUP(D495,Menu!$A$2:$F$105,6,0)),"N/A"))</f>
        <v>199</v>
      </c>
      <c r="H495" s="10">
        <f t="shared" si="2"/>
        <v>199</v>
      </c>
      <c r="I495" s="10">
        <f t="shared" si="4"/>
        <v>840</v>
      </c>
      <c r="J495" s="1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9">
        <v>45236.0</v>
      </c>
      <c r="B496" s="10" t="str">
        <f t="shared" si="1"/>
        <v>Monday</v>
      </c>
      <c r="C496" s="10" t="str">
        <f>IF(D496="","",VLOOKUP(D496,Menu!$A$2:$B$105,2,0))</f>
        <v>Pizza</v>
      </c>
      <c r="D496" s="10" t="s">
        <v>12</v>
      </c>
      <c r="E496" s="10" t="s">
        <v>2</v>
      </c>
      <c r="F496" s="10">
        <v>1.0</v>
      </c>
      <c r="G496" s="10">
        <f t="array" ref="G496">IF(OR(D496="",E496=""),"",IFERROR(CHOOSE(MATCH(E496,{"S","M","L","-"},0),VLOOKUP(D496,Menu!$A$2:$F$105,3,0),VLOOKUP(D496,Menu!$A$2:$F$105,4,0),VLOOKUP(D496,Menu!$A$2:$F$105,5,0),VLOOKUP(D496,Menu!$A$2:$F$105,6,0)),"N/A"))</f>
        <v>79</v>
      </c>
      <c r="H496" s="10">
        <f t="shared" si="2"/>
        <v>79</v>
      </c>
      <c r="I496" s="10">
        <f t="shared" si="4"/>
        <v>840</v>
      </c>
      <c r="J496" s="1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9">
        <v>45236.0</v>
      </c>
      <c r="B497" s="10" t="str">
        <f t="shared" si="1"/>
        <v>Monday</v>
      </c>
      <c r="C497" s="10" t="str">
        <f>IF(D497="","",VLOOKUP(D497,Menu!$A$2:$B$105,2,0))</f>
        <v>Burger</v>
      </c>
      <c r="D497" s="10" t="s">
        <v>27</v>
      </c>
      <c r="E497" s="10" t="s">
        <v>5</v>
      </c>
      <c r="F497" s="10">
        <v>6.0</v>
      </c>
      <c r="G497" s="10">
        <f t="array" ref="G497">IF(OR(D497="",E497=""),"",IFERROR(CHOOSE(MATCH(E497,{"S","M","L","-"},0),VLOOKUP(D497,Menu!$A$2:$F$105,3,0),VLOOKUP(D497,Menu!$A$2:$F$105,4,0),VLOOKUP(D497,Menu!$A$2:$F$105,5,0),VLOOKUP(D497,Menu!$A$2:$F$105,6,0)),"N/A"))</f>
        <v>39</v>
      </c>
      <c r="H497" s="10">
        <f t="shared" si="2"/>
        <v>234</v>
      </c>
      <c r="I497" s="10">
        <f t="shared" si="4"/>
        <v>840</v>
      </c>
      <c r="J497" s="1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9">
        <v>45236.0</v>
      </c>
      <c r="B498" s="10" t="str">
        <f t="shared" si="1"/>
        <v>Monday</v>
      </c>
      <c r="C498" s="10" t="str">
        <f>IF(D498="","",VLOOKUP(D498,Menu!$A$2:$B$105,2,0))</f>
        <v>Pizza</v>
      </c>
      <c r="D498" s="10" t="s">
        <v>8</v>
      </c>
      <c r="E498" s="10" t="s">
        <v>2</v>
      </c>
      <c r="F498" s="10">
        <v>1.0</v>
      </c>
      <c r="G498" s="10">
        <f t="array" ref="G498">IF(OR(D498="",E498=""),"",IFERROR(CHOOSE(MATCH(E498,{"S","M","L","-"},0),VLOOKUP(D498,Menu!$A$2:$F$105,3,0),VLOOKUP(D498,Menu!$A$2:$F$105,4,0),VLOOKUP(D498,Menu!$A$2:$F$105,5,0),VLOOKUP(D498,Menu!$A$2:$F$105,6,0)),"N/A"))</f>
        <v>59</v>
      </c>
      <c r="H498" s="10">
        <f t="shared" si="2"/>
        <v>59</v>
      </c>
      <c r="I498" s="10">
        <f t="shared" si="4"/>
        <v>840</v>
      </c>
      <c r="J498" s="1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9">
        <v>45236.0</v>
      </c>
      <c r="B499" s="10" t="str">
        <f t="shared" si="1"/>
        <v>Monday</v>
      </c>
      <c r="C499" s="10" t="str">
        <f>IF(D499="","",VLOOKUP(D499,Menu!$A$2:$B$105,2,0))</f>
        <v>Beverage</v>
      </c>
      <c r="D499" s="10" t="s">
        <v>63</v>
      </c>
      <c r="E499" s="10" t="s">
        <v>5</v>
      </c>
      <c r="F499" s="10">
        <v>1.0</v>
      </c>
      <c r="G499" s="10">
        <f t="array" ref="G499">IF(OR(D499="",E499=""),"",IFERROR(CHOOSE(MATCH(E499,{"S","M","L","-"},0),VLOOKUP(D499,Menu!$A$2:$F$105,3,0),VLOOKUP(D499,Menu!$A$2:$F$105,4,0),VLOOKUP(D499,Menu!$A$2:$F$105,5,0),VLOOKUP(D499,Menu!$A$2:$F$105,6,0)),"N/A"))</f>
        <v>20</v>
      </c>
      <c r="H499" s="10">
        <f t="shared" si="2"/>
        <v>20</v>
      </c>
      <c r="I499" s="10">
        <f t="shared" si="4"/>
        <v>840</v>
      </c>
      <c r="J499" s="1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2">
        <v>45237.0</v>
      </c>
      <c r="B500" s="13" t="str">
        <f t="shared" si="1"/>
        <v>Tuesday</v>
      </c>
      <c r="C500" s="13" t="str">
        <f>IF(D500="","",VLOOKUP(D500,Menu!$A$2:$B$105,2,0))</f>
        <v>Burger</v>
      </c>
      <c r="D500" s="13" t="s">
        <v>27</v>
      </c>
      <c r="E500" s="13" t="s">
        <v>5</v>
      </c>
      <c r="F500" s="13">
        <v>2.0</v>
      </c>
      <c r="G500" s="13">
        <f t="array" ref="G500">IF(OR(D500="",E500=""),"",IFERROR(CHOOSE(MATCH(E500,{"S","M","L","-"},0),VLOOKUP(D500,Menu!$A$2:$F$105,3,0),VLOOKUP(D500,Menu!$A$2:$F$105,4,0),VLOOKUP(D500,Menu!$A$2:$F$105,5,0),VLOOKUP(D500,Menu!$A$2:$F$105,6,0)),"N/A"))</f>
        <v>39</v>
      </c>
      <c r="H500" s="13">
        <f t="shared" si="2"/>
        <v>78</v>
      </c>
      <c r="I500" s="13">
        <f t="shared" si="4"/>
        <v>206</v>
      </c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2">
        <v>45237.0</v>
      </c>
      <c r="B501" s="13" t="str">
        <f t="shared" si="1"/>
        <v>Tuesday</v>
      </c>
      <c r="C501" s="13" t="str">
        <f>IF(D501="","",VLOOKUP(D501,Menu!$A$2:$B$105,2,0))</f>
        <v>Pizza</v>
      </c>
      <c r="D501" s="13" t="s">
        <v>11</v>
      </c>
      <c r="E501" s="13" t="s">
        <v>2</v>
      </c>
      <c r="F501" s="13">
        <v>1.0</v>
      </c>
      <c r="G501" s="13">
        <f t="array" ref="G501">IF(OR(D501="",E501=""),"",IFERROR(CHOOSE(MATCH(E501,{"S","M","L","-"},0),VLOOKUP(D501,Menu!$A$2:$F$105,3,0),VLOOKUP(D501,Menu!$A$2:$F$105,4,0),VLOOKUP(D501,Menu!$A$2:$F$105,5,0),VLOOKUP(D501,Menu!$A$2:$F$105,6,0)),"N/A"))</f>
        <v>69</v>
      </c>
      <c r="H501" s="13">
        <f t="shared" si="2"/>
        <v>69</v>
      </c>
      <c r="I501" s="13">
        <f t="shared" si="4"/>
        <v>206</v>
      </c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2">
        <v>45237.0</v>
      </c>
      <c r="B502" s="13" t="str">
        <f t="shared" si="1"/>
        <v>Tuesday</v>
      </c>
      <c r="C502" s="13" t="str">
        <f>IF(D502="","",VLOOKUP(D502,Menu!$A$2:$B$105,2,0))</f>
        <v>Pizza</v>
      </c>
      <c r="D502" s="13" t="s">
        <v>8</v>
      </c>
      <c r="E502" s="13" t="s">
        <v>2</v>
      </c>
      <c r="F502" s="13">
        <v>1.0</v>
      </c>
      <c r="G502" s="13">
        <f t="array" ref="G502">IF(OR(D502="",E502=""),"",IFERROR(CHOOSE(MATCH(E502,{"S","M","L","-"},0),VLOOKUP(D502,Menu!$A$2:$F$105,3,0),VLOOKUP(D502,Menu!$A$2:$F$105,4,0),VLOOKUP(D502,Menu!$A$2:$F$105,5,0),VLOOKUP(D502,Menu!$A$2:$F$105,6,0)),"N/A"))</f>
        <v>59</v>
      </c>
      <c r="H502" s="13">
        <f t="shared" si="2"/>
        <v>59</v>
      </c>
      <c r="I502" s="13">
        <f t="shared" si="4"/>
        <v>206</v>
      </c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9">
        <v>45238.0</v>
      </c>
      <c r="B503" s="10" t="str">
        <f t="shared" si="1"/>
        <v>Wednesday</v>
      </c>
      <c r="C503" s="10" t="str">
        <f>IF(D503="","",VLOOKUP(D503,Menu!$A$2:$B$105,2,0))</f>
        <v>Pizza</v>
      </c>
      <c r="D503" s="10" t="s">
        <v>6</v>
      </c>
      <c r="E503" s="10" t="s">
        <v>2</v>
      </c>
      <c r="F503" s="10">
        <v>3.0</v>
      </c>
      <c r="G503" s="10">
        <f t="array" ref="G503">IF(OR(D503="",E503=""),"",IFERROR(CHOOSE(MATCH(E503,{"S","M","L","-"},0),VLOOKUP(D503,Menu!$A$2:$F$105,3,0),VLOOKUP(D503,Menu!$A$2:$F$105,4,0),VLOOKUP(D503,Menu!$A$2:$F$105,5,0),VLOOKUP(D503,Menu!$A$2:$F$105,6,0)),"N/A"))</f>
        <v>49</v>
      </c>
      <c r="H503" s="10">
        <f t="shared" si="2"/>
        <v>147</v>
      </c>
      <c r="I503" s="10">
        <f t="shared" si="4"/>
        <v>591</v>
      </c>
      <c r="J503" s="10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9">
        <v>45238.0</v>
      </c>
      <c r="B504" s="10" t="str">
        <f t="shared" si="1"/>
        <v>Wednesday</v>
      </c>
      <c r="C504" s="10" t="str">
        <f>IF(D504="","",VLOOKUP(D504,Menu!$A$2:$B$105,2,0))</f>
        <v>Burger</v>
      </c>
      <c r="D504" s="10" t="s">
        <v>27</v>
      </c>
      <c r="E504" s="10" t="s">
        <v>5</v>
      </c>
      <c r="F504" s="10">
        <v>2.0</v>
      </c>
      <c r="G504" s="10">
        <f t="array" ref="G504">IF(OR(D504="",E504=""),"",IFERROR(CHOOSE(MATCH(E504,{"S","M","L","-"},0),VLOOKUP(D504,Menu!$A$2:$F$105,3,0),VLOOKUP(D504,Menu!$A$2:$F$105,4,0),VLOOKUP(D504,Menu!$A$2:$F$105,5,0),VLOOKUP(D504,Menu!$A$2:$F$105,6,0)),"N/A"))</f>
        <v>39</v>
      </c>
      <c r="H504" s="10">
        <f t="shared" si="2"/>
        <v>78</v>
      </c>
      <c r="I504" s="10">
        <f t="shared" si="4"/>
        <v>591</v>
      </c>
      <c r="J504" s="10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9">
        <v>45238.0</v>
      </c>
      <c r="B505" s="10" t="str">
        <f t="shared" si="1"/>
        <v>Wednesday</v>
      </c>
      <c r="C505" s="10" t="str">
        <f>IF(D505="","",VLOOKUP(D505,Menu!$A$2:$B$105,2,0))</f>
        <v>Pizza</v>
      </c>
      <c r="D505" s="10" t="s">
        <v>11</v>
      </c>
      <c r="E505" s="10" t="s">
        <v>2</v>
      </c>
      <c r="F505" s="10">
        <v>1.0</v>
      </c>
      <c r="G505" s="10">
        <f t="array" ref="G505">IF(OR(D505="",E505=""),"",IFERROR(CHOOSE(MATCH(E505,{"S","M","L","-"},0),VLOOKUP(D505,Menu!$A$2:$F$105,3,0),VLOOKUP(D505,Menu!$A$2:$F$105,4,0),VLOOKUP(D505,Menu!$A$2:$F$105,5,0),VLOOKUP(D505,Menu!$A$2:$F$105,6,0)),"N/A"))</f>
        <v>69</v>
      </c>
      <c r="H505" s="10">
        <f t="shared" si="2"/>
        <v>69</v>
      </c>
      <c r="I505" s="10">
        <f t="shared" si="4"/>
        <v>591</v>
      </c>
      <c r="J505" s="10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9">
        <v>45238.0</v>
      </c>
      <c r="B506" s="10" t="str">
        <f t="shared" si="1"/>
        <v>Wednesday</v>
      </c>
      <c r="C506" s="10" t="str">
        <f>IF(D506="","",VLOOKUP(D506,Menu!$A$2:$B$105,2,0))</f>
        <v>Pizza</v>
      </c>
      <c r="D506" s="10" t="s">
        <v>26</v>
      </c>
      <c r="E506" s="10" t="s">
        <v>5</v>
      </c>
      <c r="F506" s="10">
        <v>3.0</v>
      </c>
      <c r="G506" s="10">
        <f t="array" ref="G506">IF(OR(D506="",E506=""),"",IFERROR(CHOOSE(MATCH(E506,{"S","M","L","-"},0),VLOOKUP(D506,Menu!$A$2:$F$105,3,0),VLOOKUP(D506,Menu!$A$2:$F$105,4,0),VLOOKUP(D506,Menu!$A$2:$F$105,5,0),VLOOKUP(D506,Menu!$A$2:$F$105,6,0)),"N/A"))</f>
        <v>99</v>
      </c>
      <c r="H506" s="10">
        <f t="shared" si="2"/>
        <v>297</v>
      </c>
      <c r="I506" s="10">
        <f t="shared" si="4"/>
        <v>591</v>
      </c>
      <c r="J506" s="10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2">
        <v>45239.0</v>
      </c>
      <c r="B507" s="13" t="str">
        <f t="shared" si="1"/>
        <v>Thursday</v>
      </c>
      <c r="C507" s="13" t="str">
        <f>IF(D507="","",VLOOKUP(D507,Menu!$A$2:$B$105,2,0))</f>
        <v>Pizza</v>
      </c>
      <c r="D507" s="13" t="s">
        <v>16</v>
      </c>
      <c r="E507" s="13" t="s">
        <v>3</v>
      </c>
      <c r="F507" s="13">
        <v>1.0</v>
      </c>
      <c r="G507" s="13">
        <f t="array" ref="G507">IF(OR(D507="",E507=""),"",IFERROR(CHOOSE(MATCH(E507,{"S","M","L","-"},0),VLOOKUP(D507,Menu!$A$2:$F$105,3,0),VLOOKUP(D507,Menu!$A$2:$F$105,4,0),VLOOKUP(D507,Menu!$A$2:$F$105,5,0),VLOOKUP(D507,Menu!$A$2:$F$105,6,0)),"N/A"))</f>
        <v>199</v>
      </c>
      <c r="H507" s="13">
        <f t="shared" si="2"/>
        <v>199</v>
      </c>
      <c r="I507" s="13">
        <f t="shared" si="4"/>
        <v>1186</v>
      </c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2">
        <v>45239.0</v>
      </c>
      <c r="B508" s="13" t="str">
        <f t="shared" si="1"/>
        <v>Thursday</v>
      </c>
      <c r="C508" s="13" t="str">
        <f>IF(D508="","",VLOOKUP(D508,Menu!$A$2:$B$105,2,0))</f>
        <v>Pizza</v>
      </c>
      <c r="D508" s="13" t="s">
        <v>21</v>
      </c>
      <c r="E508" s="13" t="s">
        <v>3</v>
      </c>
      <c r="F508" s="13">
        <v>1.0</v>
      </c>
      <c r="G508" s="13">
        <f t="array" ref="G508">IF(OR(D508="",E508=""),"",IFERROR(CHOOSE(MATCH(E508,{"S","M","L","-"},0),VLOOKUP(D508,Menu!$A$2:$F$105,3,0),VLOOKUP(D508,Menu!$A$2:$F$105,4,0),VLOOKUP(D508,Menu!$A$2:$F$105,5,0),VLOOKUP(D508,Menu!$A$2:$F$105,6,0)),"N/A"))</f>
        <v>209</v>
      </c>
      <c r="H508" s="13">
        <f t="shared" si="2"/>
        <v>209</v>
      </c>
      <c r="I508" s="13">
        <f t="shared" si="4"/>
        <v>1186</v>
      </c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2">
        <v>45239.0</v>
      </c>
      <c r="B509" s="13" t="str">
        <f t="shared" si="1"/>
        <v>Thursday</v>
      </c>
      <c r="C509" s="13" t="str">
        <f>IF(D509="","",VLOOKUP(D509,Menu!$A$2:$B$105,2,0))</f>
        <v>Pizza</v>
      </c>
      <c r="D509" s="13" t="s">
        <v>6</v>
      </c>
      <c r="E509" s="13" t="s">
        <v>2</v>
      </c>
      <c r="F509" s="13">
        <v>1.0</v>
      </c>
      <c r="G509" s="13">
        <f t="array" ref="G509">IF(OR(D509="",E509=""),"",IFERROR(CHOOSE(MATCH(E509,{"S","M","L","-"},0),VLOOKUP(D509,Menu!$A$2:$F$105,3,0),VLOOKUP(D509,Menu!$A$2:$F$105,4,0),VLOOKUP(D509,Menu!$A$2:$F$105,5,0),VLOOKUP(D509,Menu!$A$2:$F$105,6,0)),"N/A"))</f>
        <v>49</v>
      </c>
      <c r="H509" s="13">
        <f t="shared" si="2"/>
        <v>49</v>
      </c>
      <c r="I509" s="13">
        <f t="shared" si="4"/>
        <v>1186</v>
      </c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2">
        <v>45239.0</v>
      </c>
      <c r="B510" s="13" t="str">
        <f t="shared" si="1"/>
        <v>Thursday</v>
      </c>
      <c r="C510" s="13" t="str">
        <f>IF(D510="","",VLOOKUP(D510,Menu!$A$2:$B$105,2,0))</f>
        <v>Pizza</v>
      </c>
      <c r="D510" s="13" t="s">
        <v>26</v>
      </c>
      <c r="E510" s="13" t="s">
        <v>5</v>
      </c>
      <c r="F510" s="13">
        <v>2.0</v>
      </c>
      <c r="G510" s="13">
        <f t="array" ref="G510">IF(OR(D510="",E510=""),"",IFERROR(CHOOSE(MATCH(E510,{"S","M","L","-"},0),VLOOKUP(D510,Menu!$A$2:$F$105,3,0),VLOOKUP(D510,Menu!$A$2:$F$105,4,0),VLOOKUP(D510,Menu!$A$2:$F$105,5,0),VLOOKUP(D510,Menu!$A$2:$F$105,6,0)),"N/A"))</f>
        <v>99</v>
      </c>
      <c r="H510" s="13">
        <f t="shared" si="2"/>
        <v>198</v>
      </c>
      <c r="I510" s="13">
        <f t="shared" si="4"/>
        <v>1186</v>
      </c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2">
        <v>45239.0</v>
      </c>
      <c r="B511" s="13" t="str">
        <f t="shared" si="1"/>
        <v>Thursday</v>
      </c>
      <c r="C511" s="13" t="str">
        <f>IF(D511="","",VLOOKUP(D511,Menu!$A$2:$B$105,2,0))</f>
        <v>Burger</v>
      </c>
      <c r="D511" s="13" t="s">
        <v>27</v>
      </c>
      <c r="E511" s="13" t="s">
        <v>5</v>
      </c>
      <c r="F511" s="13">
        <v>3.0</v>
      </c>
      <c r="G511" s="13">
        <f t="array" ref="G511">IF(OR(D511="",E511=""),"",IFERROR(CHOOSE(MATCH(E511,{"S","M","L","-"},0),VLOOKUP(D511,Menu!$A$2:$F$105,3,0),VLOOKUP(D511,Menu!$A$2:$F$105,4,0),VLOOKUP(D511,Menu!$A$2:$F$105,5,0),VLOOKUP(D511,Menu!$A$2:$F$105,6,0)),"N/A"))</f>
        <v>39</v>
      </c>
      <c r="H511" s="13">
        <f t="shared" si="2"/>
        <v>117</v>
      </c>
      <c r="I511" s="13">
        <f t="shared" si="4"/>
        <v>1186</v>
      </c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2">
        <v>45239.0</v>
      </c>
      <c r="B512" s="13" t="str">
        <f t="shared" si="1"/>
        <v>Thursday</v>
      </c>
      <c r="C512" s="13" t="str">
        <f>IF(D512="","",VLOOKUP(D512,Menu!$A$2:$B$105,2,0))</f>
        <v>Bread</v>
      </c>
      <c r="D512" s="13" t="s">
        <v>35</v>
      </c>
      <c r="E512" s="13" t="s">
        <v>5</v>
      </c>
      <c r="F512" s="13">
        <v>1.0</v>
      </c>
      <c r="G512" s="13">
        <f t="array" ref="G512">IF(OR(D512="",E512=""),"",IFERROR(CHOOSE(MATCH(E512,{"S","M","L","-"},0),VLOOKUP(D512,Menu!$A$2:$F$105,3,0),VLOOKUP(D512,Menu!$A$2:$F$105,4,0),VLOOKUP(D512,Menu!$A$2:$F$105,5,0),VLOOKUP(D512,Menu!$A$2:$F$105,6,0)),"N/A"))</f>
        <v>49</v>
      </c>
      <c r="H512" s="13">
        <f t="shared" si="2"/>
        <v>49</v>
      </c>
      <c r="I512" s="13">
        <f t="shared" si="4"/>
        <v>1186</v>
      </c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2">
        <v>45239.0</v>
      </c>
      <c r="B513" s="13" t="str">
        <f t="shared" si="1"/>
        <v>Thursday</v>
      </c>
      <c r="C513" s="13" t="str">
        <f>IF(D513="","",VLOOKUP(D513,Menu!$A$2:$B$105,2,0))</f>
        <v>Burger</v>
      </c>
      <c r="D513" s="13" t="s">
        <v>29</v>
      </c>
      <c r="E513" s="13" t="s">
        <v>5</v>
      </c>
      <c r="F513" s="13">
        <v>4.0</v>
      </c>
      <c r="G513" s="13">
        <f t="array" ref="G513">IF(OR(D513="",E513=""),"",IFERROR(CHOOSE(MATCH(E513,{"S","M","L","-"},0),VLOOKUP(D513,Menu!$A$2:$F$105,3,0),VLOOKUP(D513,Menu!$A$2:$F$105,4,0),VLOOKUP(D513,Menu!$A$2:$F$105,5,0),VLOOKUP(D513,Menu!$A$2:$F$105,6,0)),"N/A"))</f>
        <v>59</v>
      </c>
      <c r="H513" s="13">
        <f t="shared" si="2"/>
        <v>236</v>
      </c>
      <c r="I513" s="13">
        <f t="shared" si="4"/>
        <v>1186</v>
      </c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2">
        <v>45239.0</v>
      </c>
      <c r="B514" s="13" t="str">
        <f t="shared" si="1"/>
        <v>Thursday</v>
      </c>
      <c r="C514" s="13" t="str">
        <f>IF(D514="","",VLOOKUP(D514,Menu!$A$2:$B$105,2,0))</f>
        <v>Beverage</v>
      </c>
      <c r="D514" s="13" t="s">
        <v>63</v>
      </c>
      <c r="E514" s="13" t="s">
        <v>5</v>
      </c>
      <c r="F514" s="13">
        <v>1.0</v>
      </c>
      <c r="G514" s="13">
        <f t="array" ref="G514">IF(OR(D514="",E514=""),"",IFERROR(CHOOSE(MATCH(E514,{"S","M","L","-"},0),VLOOKUP(D514,Menu!$A$2:$F$105,3,0),VLOOKUP(D514,Menu!$A$2:$F$105,4,0),VLOOKUP(D514,Menu!$A$2:$F$105,5,0),VLOOKUP(D514,Menu!$A$2:$F$105,6,0)),"N/A"))</f>
        <v>20</v>
      </c>
      <c r="H514" s="13">
        <f t="shared" si="2"/>
        <v>20</v>
      </c>
      <c r="I514" s="13">
        <f t="shared" si="4"/>
        <v>1186</v>
      </c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2">
        <v>45239.0</v>
      </c>
      <c r="B515" s="13" t="str">
        <f t="shared" si="1"/>
        <v>Thursday</v>
      </c>
      <c r="C515" s="13" t="str">
        <f>IF(D515="","",VLOOKUP(D515,Menu!$A$2:$B$105,2,0))</f>
        <v>Pizza</v>
      </c>
      <c r="D515" s="13" t="s">
        <v>11</v>
      </c>
      <c r="E515" s="13" t="s">
        <v>3</v>
      </c>
      <c r="F515" s="13">
        <v>1.0</v>
      </c>
      <c r="G515" s="13">
        <f t="array" ref="G515">IF(OR(D515="",E515=""),"",IFERROR(CHOOSE(MATCH(E515,{"S","M","L","-"},0),VLOOKUP(D515,Menu!$A$2:$F$105,3,0),VLOOKUP(D515,Menu!$A$2:$F$105,4,0),VLOOKUP(D515,Menu!$A$2:$F$105,5,0),VLOOKUP(D515,Menu!$A$2:$F$105,6,0)),"N/A"))</f>
        <v>109</v>
      </c>
      <c r="H515" s="13">
        <f t="shared" si="2"/>
        <v>109</v>
      </c>
      <c r="I515" s="13">
        <f t="shared" si="4"/>
        <v>1186</v>
      </c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9">
        <v>45240.0</v>
      </c>
      <c r="B516" s="10" t="str">
        <f t="shared" si="1"/>
        <v>Friday</v>
      </c>
      <c r="C516" s="10" t="str">
        <f>IF(D516="","",VLOOKUP(D516,Menu!$A$2:$B$105,2,0))</f>
        <v>Burger</v>
      </c>
      <c r="D516" s="10" t="s">
        <v>29</v>
      </c>
      <c r="E516" s="10" t="s">
        <v>5</v>
      </c>
      <c r="F516" s="10">
        <v>4.0</v>
      </c>
      <c r="G516" s="10">
        <f t="array" ref="G516">IF(OR(D516="",E516=""),"",IFERROR(CHOOSE(MATCH(E516,{"S","M","L","-"},0),VLOOKUP(D516,Menu!$A$2:$F$105,3,0),VLOOKUP(D516,Menu!$A$2:$F$105,4,0),VLOOKUP(D516,Menu!$A$2:$F$105,5,0),VLOOKUP(D516,Menu!$A$2:$F$105,6,0)),"N/A"))</f>
        <v>59</v>
      </c>
      <c r="H516" s="10">
        <f t="shared" si="2"/>
        <v>236</v>
      </c>
      <c r="I516" s="10">
        <f t="shared" si="4"/>
        <v>1186</v>
      </c>
      <c r="J516" s="10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9">
        <v>45240.0</v>
      </c>
      <c r="B517" s="10" t="str">
        <f t="shared" si="1"/>
        <v>Friday</v>
      </c>
      <c r="C517" s="10" t="str">
        <f>IF(D517="","",VLOOKUP(D517,Menu!$A$2:$B$105,2,0))</f>
        <v>Beverage</v>
      </c>
      <c r="D517" s="10" t="s">
        <v>63</v>
      </c>
      <c r="E517" s="10" t="s">
        <v>5</v>
      </c>
      <c r="F517" s="10">
        <v>1.0</v>
      </c>
      <c r="G517" s="10">
        <f t="array" ref="G517">IF(OR(D517="",E517=""),"",IFERROR(CHOOSE(MATCH(E517,{"S","M","L","-"},0),VLOOKUP(D517,Menu!$A$2:$F$105,3,0),VLOOKUP(D517,Menu!$A$2:$F$105,4,0),VLOOKUP(D517,Menu!$A$2:$F$105,5,0),VLOOKUP(D517,Menu!$A$2:$F$105,6,0)),"N/A"))</f>
        <v>20</v>
      </c>
      <c r="H517" s="10">
        <f t="shared" si="2"/>
        <v>20</v>
      </c>
      <c r="I517" s="10">
        <f t="shared" si="4"/>
        <v>1186</v>
      </c>
      <c r="J517" s="10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9">
        <v>45240.0</v>
      </c>
      <c r="B518" s="10" t="str">
        <f t="shared" si="1"/>
        <v>Friday</v>
      </c>
      <c r="C518" s="10" t="str">
        <f>IF(D518="","",VLOOKUP(D518,Menu!$A$2:$B$105,2,0))</f>
        <v>Pizza</v>
      </c>
      <c r="D518" s="10" t="s">
        <v>11</v>
      </c>
      <c r="E518" s="10" t="s">
        <v>3</v>
      </c>
      <c r="F518" s="10">
        <v>1.0</v>
      </c>
      <c r="G518" s="10">
        <f t="array" ref="G518">IF(OR(D518="",E518=""),"",IFERROR(CHOOSE(MATCH(E518,{"S","M","L","-"},0),VLOOKUP(D518,Menu!$A$2:$F$105,3,0),VLOOKUP(D518,Menu!$A$2:$F$105,4,0),VLOOKUP(D518,Menu!$A$2:$F$105,5,0),VLOOKUP(D518,Menu!$A$2:$F$105,6,0)),"N/A"))</f>
        <v>109</v>
      </c>
      <c r="H518" s="10">
        <f t="shared" si="2"/>
        <v>109</v>
      </c>
      <c r="I518" s="10">
        <f t="shared" si="4"/>
        <v>1186</v>
      </c>
      <c r="J518" s="10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9">
        <v>45240.0</v>
      </c>
      <c r="B519" s="10" t="str">
        <f t="shared" si="1"/>
        <v>Friday</v>
      </c>
      <c r="C519" s="10" t="str">
        <f>IF(D519="","",VLOOKUP(D519,Menu!$A$2:$B$105,2,0))</f>
        <v>Pizza</v>
      </c>
      <c r="D519" s="10" t="s">
        <v>26</v>
      </c>
      <c r="E519" s="10" t="s">
        <v>5</v>
      </c>
      <c r="F519" s="10">
        <v>2.0</v>
      </c>
      <c r="G519" s="10">
        <f t="array" ref="G519">IF(OR(D519="",E519=""),"",IFERROR(CHOOSE(MATCH(E519,{"S","M","L","-"},0),VLOOKUP(D519,Menu!$A$2:$F$105,3,0),VLOOKUP(D519,Menu!$A$2:$F$105,4,0),VLOOKUP(D519,Menu!$A$2:$F$105,5,0),VLOOKUP(D519,Menu!$A$2:$F$105,6,0)),"N/A"))</f>
        <v>99</v>
      </c>
      <c r="H519" s="10">
        <f t="shared" si="2"/>
        <v>198</v>
      </c>
      <c r="I519" s="10">
        <f t="shared" si="4"/>
        <v>1186</v>
      </c>
      <c r="J519" s="10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9">
        <v>45240.0</v>
      </c>
      <c r="B520" s="10" t="str">
        <f t="shared" si="1"/>
        <v>Friday</v>
      </c>
      <c r="C520" s="10" t="str">
        <f>IF(D520="","",VLOOKUP(D520,Menu!$A$2:$B$105,2,0))</f>
        <v>Burger</v>
      </c>
      <c r="D520" s="10" t="s">
        <v>27</v>
      </c>
      <c r="E520" s="10" t="s">
        <v>5</v>
      </c>
      <c r="F520" s="10">
        <v>3.0</v>
      </c>
      <c r="G520" s="10">
        <f t="array" ref="G520">IF(OR(D520="",E520=""),"",IFERROR(CHOOSE(MATCH(E520,{"S","M","L","-"},0),VLOOKUP(D520,Menu!$A$2:$F$105,3,0),VLOOKUP(D520,Menu!$A$2:$F$105,4,0),VLOOKUP(D520,Menu!$A$2:$F$105,5,0),VLOOKUP(D520,Menu!$A$2:$F$105,6,0)),"N/A"))</f>
        <v>39</v>
      </c>
      <c r="H520" s="10">
        <f t="shared" si="2"/>
        <v>117</v>
      </c>
      <c r="I520" s="10">
        <f t="shared" si="4"/>
        <v>1186</v>
      </c>
      <c r="J520" s="10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9">
        <v>45240.0</v>
      </c>
      <c r="B521" s="10" t="str">
        <f t="shared" si="1"/>
        <v>Friday</v>
      </c>
      <c r="C521" s="10" t="str">
        <f>IF(D521="","",VLOOKUP(D521,Menu!$A$2:$B$105,2,0))</f>
        <v>Bread</v>
      </c>
      <c r="D521" s="10" t="s">
        <v>35</v>
      </c>
      <c r="E521" s="10" t="s">
        <v>5</v>
      </c>
      <c r="F521" s="10">
        <v>1.0</v>
      </c>
      <c r="G521" s="10">
        <f t="array" ref="G521">IF(OR(D521="",E521=""),"",IFERROR(CHOOSE(MATCH(E521,{"S","M","L","-"},0),VLOOKUP(D521,Menu!$A$2:$F$105,3,0),VLOOKUP(D521,Menu!$A$2:$F$105,4,0),VLOOKUP(D521,Menu!$A$2:$F$105,5,0),VLOOKUP(D521,Menu!$A$2:$F$105,6,0)),"N/A"))</f>
        <v>49</v>
      </c>
      <c r="H521" s="10">
        <f t="shared" si="2"/>
        <v>49</v>
      </c>
      <c r="I521" s="10">
        <f t="shared" si="4"/>
        <v>1186</v>
      </c>
      <c r="J521" s="10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9">
        <v>45240.0</v>
      </c>
      <c r="B522" s="10" t="str">
        <f t="shared" si="1"/>
        <v>Friday</v>
      </c>
      <c r="C522" s="10" t="str">
        <f>IF(D522="","",VLOOKUP(D522,Menu!$A$2:$B$105,2,0))</f>
        <v>Pizza</v>
      </c>
      <c r="D522" s="10" t="s">
        <v>16</v>
      </c>
      <c r="E522" s="10" t="s">
        <v>3</v>
      </c>
      <c r="F522" s="10">
        <v>1.0</v>
      </c>
      <c r="G522" s="10">
        <f t="array" ref="G522">IF(OR(D522="",E522=""),"",IFERROR(CHOOSE(MATCH(E522,{"S","M","L","-"},0),VLOOKUP(D522,Menu!$A$2:$F$105,3,0),VLOOKUP(D522,Menu!$A$2:$F$105,4,0),VLOOKUP(D522,Menu!$A$2:$F$105,5,0),VLOOKUP(D522,Menu!$A$2:$F$105,6,0)),"N/A"))</f>
        <v>199</v>
      </c>
      <c r="H522" s="10">
        <f t="shared" si="2"/>
        <v>199</v>
      </c>
      <c r="I522" s="10">
        <f t="shared" si="4"/>
        <v>1186</v>
      </c>
      <c r="J522" s="10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9">
        <v>45240.0</v>
      </c>
      <c r="B523" s="10" t="str">
        <f t="shared" si="1"/>
        <v>Friday</v>
      </c>
      <c r="C523" s="10" t="str">
        <f>IF(D523="","",VLOOKUP(D523,Menu!$A$2:$B$105,2,0))</f>
        <v>Pizza</v>
      </c>
      <c r="D523" s="10" t="s">
        <v>21</v>
      </c>
      <c r="E523" s="10" t="s">
        <v>3</v>
      </c>
      <c r="F523" s="10">
        <v>1.0</v>
      </c>
      <c r="G523" s="10">
        <f t="array" ref="G523">IF(OR(D523="",E523=""),"",IFERROR(CHOOSE(MATCH(E523,{"S","M","L","-"},0),VLOOKUP(D523,Menu!$A$2:$F$105,3,0),VLOOKUP(D523,Menu!$A$2:$F$105,4,0),VLOOKUP(D523,Menu!$A$2:$F$105,5,0),VLOOKUP(D523,Menu!$A$2:$F$105,6,0)),"N/A"))</f>
        <v>209</v>
      </c>
      <c r="H523" s="10">
        <f t="shared" si="2"/>
        <v>209</v>
      </c>
      <c r="I523" s="10">
        <f t="shared" si="4"/>
        <v>1186</v>
      </c>
      <c r="J523" s="1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9">
        <v>45240.0</v>
      </c>
      <c r="B524" s="10" t="str">
        <f t="shared" si="1"/>
        <v>Friday</v>
      </c>
      <c r="C524" s="10" t="str">
        <f>IF(D524="","",VLOOKUP(D524,Menu!$A$2:$B$105,2,0))</f>
        <v>Pizza</v>
      </c>
      <c r="D524" s="10" t="s">
        <v>6</v>
      </c>
      <c r="E524" s="10" t="s">
        <v>2</v>
      </c>
      <c r="F524" s="10">
        <v>1.0</v>
      </c>
      <c r="G524" s="10">
        <f t="array" ref="G524">IF(OR(D524="",E524=""),"",IFERROR(CHOOSE(MATCH(E524,{"S","M","L","-"},0),VLOOKUP(D524,Menu!$A$2:$F$105,3,0),VLOOKUP(D524,Menu!$A$2:$F$105,4,0),VLOOKUP(D524,Menu!$A$2:$F$105,5,0),VLOOKUP(D524,Menu!$A$2:$F$105,6,0)),"N/A"))</f>
        <v>49</v>
      </c>
      <c r="H524" s="10">
        <f t="shared" si="2"/>
        <v>49</v>
      </c>
      <c r="I524" s="10">
        <f t="shared" si="4"/>
        <v>1186</v>
      </c>
      <c r="J524" s="1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2">
        <v>45244.0</v>
      </c>
      <c r="B525" s="13" t="str">
        <f t="shared" si="1"/>
        <v>Tuesday</v>
      </c>
      <c r="C525" s="13" t="str">
        <f>IF(D525="","",VLOOKUP(D525,Menu!$A$2:$B$105,2,0))</f>
        <v>Pizza</v>
      </c>
      <c r="D525" s="13" t="s">
        <v>12</v>
      </c>
      <c r="E525" s="13" t="s">
        <v>4</v>
      </c>
      <c r="F525" s="13">
        <v>1.0</v>
      </c>
      <c r="G525" s="13">
        <f t="array" ref="G525">IF(OR(D525="",E525=""),"",IFERROR(CHOOSE(MATCH(E525,{"S","M","L","-"},0),VLOOKUP(D525,Menu!$A$2:$F$105,3,0),VLOOKUP(D525,Menu!$A$2:$F$105,4,0),VLOOKUP(D525,Menu!$A$2:$F$105,5,0),VLOOKUP(D525,Menu!$A$2:$F$105,6,0)),"N/A"))</f>
        <v>209</v>
      </c>
      <c r="H525" s="13">
        <f t="shared" si="2"/>
        <v>209</v>
      </c>
      <c r="I525" s="13">
        <f t="shared" si="4"/>
        <v>3472</v>
      </c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2">
        <v>45244.0</v>
      </c>
      <c r="B526" s="13" t="str">
        <f t="shared" si="1"/>
        <v>Tuesday</v>
      </c>
      <c r="C526" s="13" t="str">
        <f>IF(D526="","",VLOOKUP(D526,Menu!$A$2:$B$105,2,0))</f>
        <v>Pizza</v>
      </c>
      <c r="D526" s="13" t="s">
        <v>15</v>
      </c>
      <c r="E526" s="13" t="s">
        <v>2</v>
      </c>
      <c r="F526" s="13">
        <v>2.0</v>
      </c>
      <c r="G526" s="13">
        <f t="array" ref="G526">IF(OR(D526="",E526=""),"",IFERROR(CHOOSE(MATCH(E526,{"S","M","L","-"},0),VLOOKUP(D526,Menu!$A$2:$F$105,3,0),VLOOKUP(D526,Menu!$A$2:$F$105,4,0),VLOOKUP(D526,Menu!$A$2:$F$105,5,0),VLOOKUP(D526,Menu!$A$2:$F$105,6,0)),"N/A"))</f>
        <v>99</v>
      </c>
      <c r="H526" s="13">
        <f t="shared" si="2"/>
        <v>198</v>
      </c>
      <c r="I526" s="13">
        <f t="shared" si="4"/>
        <v>3472</v>
      </c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2">
        <v>45244.0</v>
      </c>
      <c r="B527" s="13" t="str">
        <f t="shared" si="1"/>
        <v>Tuesday</v>
      </c>
      <c r="C527" s="13" t="str">
        <f>IF(D527="","",VLOOKUP(D527,Menu!$A$2:$B$105,2,0))</f>
        <v>Pizza</v>
      </c>
      <c r="D527" s="13" t="s">
        <v>15</v>
      </c>
      <c r="E527" s="13" t="s">
        <v>3</v>
      </c>
      <c r="F527" s="13">
        <v>2.0</v>
      </c>
      <c r="G527" s="13">
        <f t="array" ref="G527">IF(OR(D527="",E527=""),"",IFERROR(CHOOSE(MATCH(E527,{"S","M","L","-"},0),VLOOKUP(D527,Menu!$A$2:$F$105,3,0),VLOOKUP(D527,Menu!$A$2:$F$105,4,0),VLOOKUP(D527,Menu!$A$2:$F$105,5,0),VLOOKUP(D527,Menu!$A$2:$F$105,6,0)),"N/A"))</f>
        <v>149</v>
      </c>
      <c r="H527" s="13">
        <f t="shared" si="2"/>
        <v>298</v>
      </c>
      <c r="I527" s="13">
        <f t="shared" si="4"/>
        <v>3472</v>
      </c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2">
        <v>45244.0</v>
      </c>
      <c r="B528" s="13" t="str">
        <f t="shared" si="1"/>
        <v>Tuesday</v>
      </c>
      <c r="C528" s="13" t="str">
        <f>IF(D528="","",VLOOKUP(D528,Menu!$A$2:$B$105,2,0))</f>
        <v>Pizza</v>
      </c>
      <c r="D528" s="13" t="s">
        <v>21</v>
      </c>
      <c r="E528" s="13" t="s">
        <v>4</v>
      </c>
      <c r="F528" s="13">
        <v>1.0</v>
      </c>
      <c r="G528" s="13">
        <f t="array" ref="G528">IF(OR(D528="",E528=""),"",IFERROR(CHOOSE(MATCH(E528,{"S","M","L","-"},0),VLOOKUP(D528,Menu!$A$2:$F$105,3,0),VLOOKUP(D528,Menu!$A$2:$F$105,4,0),VLOOKUP(D528,Menu!$A$2:$F$105,5,0),VLOOKUP(D528,Menu!$A$2:$F$105,6,0)),"N/A"))</f>
        <v>299</v>
      </c>
      <c r="H528" s="13">
        <f t="shared" si="2"/>
        <v>299</v>
      </c>
      <c r="I528" s="13">
        <f t="shared" si="4"/>
        <v>3472</v>
      </c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2">
        <v>45244.0</v>
      </c>
      <c r="B529" s="13" t="str">
        <f t="shared" si="1"/>
        <v>Tuesday</v>
      </c>
      <c r="C529" s="13" t="str">
        <f>IF(D529="","",VLOOKUP(D529,Menu!$A$2:$B$105,2,0))</f>
        <v>Pizza</v>
      </c>
      <c r="D529" s="13" t="s">
        <v>19</v>
      </c>
      <c r="E529" s="13" t="s">
        <v>4</v>
      </c>
      <c r="F529" s="13">
        <v>2.0</v>
      </c>
      <c r="G529" s="13">
        <f t="array" ref="G529">IF(OR(D529="",E529=""),"",IFERROR(CHOOSE(MATCH(E529,{"S","M","L","-"},0),VLOOKUP(D529,Menu!$A$2:$F$105,3,0),VLOOKUP(D529,Menu!$A$2:$F$105,4,0),VLOOKUP(D529,Menu!$A$2:$F$105,5,0),VLOOKUP(D529,Menu!$A$2:$F$105,6,0)),"N/A"))</f>
        <v>289</v>
      </c>
      <c r="H529" s="13">
        <f t="shared" si="2"/>
        <v>578</v>
      </c>
      <c r="I529" s="13">
        <f t="shared" si="4"/>
        <v>3472</v>
      </c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2">
        <v>45244.0</v>
      </c>
      <c r="B530" s="13" t="str">
        <f t="shared" si="1"/>
        <v>Tuesday</v>
      </c>
      <c r="C530" s="13" t="str">
        <f>IF(D530="","",VLOOKUP(D530,Menu!$A$2:$B$105,2,0))</f>
        <v>Pizza</v>
      </c>
      <c r="D530" s="13" t="s">
        <v>23</v>
      </c>
      <c r="E530" s="13" t="s">
        <v>4</v>
      </c>
      <c r="F530" s="13">
        <v>1.0</v>
      </c>
      <c r="G530" s="13">
        <f t="array" ref="G530">IF(OR(D530="",E530=""),"",IFERROR(CHOOSE(MATCH(E530,{"S","M","L","-"},0),VLOOKUP(D530,Menu!$A$2:$F$105,3,0),VLOOKUP(D530,Menu!$A$2:$F$105,4,0),VLOOKUP(D530,Menu!$A$2:$F$105,5,0),VLOOKUP(D530,Menu!$A$2:$F$105,6,0)),"N/A"))</f>
        <v>339</v>
      </c>
      <c r="H530" s="13">
        <f t="shared" si="2"/>
        <v>339</v>
      </c>
      <c r="I530" s="13">
        <f t="shared" si="4"/>
        <v>3472</v>
      </c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2">
        <v>45244.0</v>
      </c>
      <c r="B531" s="13" t="str">
        <f t="shared" si="1"/>
        <v>Tuesday</v>
      </c>
      <c r="C531" s="13" t="str">
        <f>IF(D531="","",VLOOKUP(D531,Menu!$A$2:$B$105,2,0))</f>
        <v>Pizza</v>
      </c>
      <c r="D531" s="13" t="s">
        <v>16</v>
      </c>
      <c r="E531" s="13" t="s">
        <v>2</v>
      </c>
      <c r="F531" s="13">
        <v>2.0</v>
      </c>
      <c r="G531" s="13">
        <f t="array" ref="G531">IF(OR(D531="",E531=""),"",IFERROR(CHOOSE(MATCH(E531,{"S","M","L","-"},0),VLOOKUP(D531,Menu!$A$2:$F$105,3,0),VLOOKUP(D531,Menu!$A$2:$F$105,4,0),VLOOKUP(D531,Menu!$A$2:$F$105,5,0),VLOOKUP(D531,Menu!$A$2:$F$105,6,0)),"N/A"))</f>
        <v>109</v>
      </c>
      <c r="H531" s="13">
        <f t="shared" si="2"/>
        <v>218</v>
      </c>
      <c r="I531" s="13">
        <f t="shared" si="4"/>
        <v>3472</v>
      </c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2">
        <v>45244.0</v>
      </c>
      <c r="B532" s="13" t="str">
        <f t="shared" si="1"/>
        <v>Tuesday</v>
      </c>
      <c r="C532" s="13" t="str">
        <f>IF(D532="","",VLOOKUP(D532,Menu!$A$2:$B$105,2,0))</f>
        <v>Pizza</v>
      </c>
      <c r="D532" s="13" t="s">
        <v>11</v>
      </c>
      <c r="E532" s="13" t="s">
        <v>2</v>
      </c>
      <c r="F532" s="13">
        <v>2.0</v>
      </c>
      <c r="G532" s="13">
        <f t="array" ref="G532">IF(OR(D532="",E532=""),"",IFERROR(CHOOSE(MATCH(E532,{"S","M","L","-"},0),VLOOKUP(D532,Menu!$A$2:$F$105,3,0),VLOOKUP(D532,Menu!$A$2:$F$105,4,0),VLOOKUP(D532,Menu!$A$2:$F$105,5,0),VLOOKUP(D532,Menu!$A$2:$F$105,6,0)),"N/A"))</f>
        <v>69</v>
      </c>
      <c r="H532" s="13">
        <f t="shared" si="2"/>
        <v>138</v>
      </c>
      <c r="I532" s="13">
        <f t="shared" si="4"/>
        <v>3472</v>
      </c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2">
        <v>45244.0</v>
      </c>
      <c r="B533" s="13" t="str">
        <f t="shared" si="1"/>
        <v>Tuesday</v>
      </c>
      <c r="C533" s="13" t="str">
        <f>IF(D533="","",VLOOKUP(D533,Menu!$A$2:$B$105,2,0))</f>
        <v>Pizza</v>
      </c>
      <c r="D533" s="13" t="s">
        <v>8</v>
      </c>
      <c r="E533" s="13" t="s">
        <v>2</v>
      </c>
      <c r="F533" s="13">
        <v>2.0</v>
      </c>
      <c r="G533" s="13">
        <f t="array" ref="G533">IF(OR(D533="",E533=""),"",IFERROR(CHOOSE(MATCH(E533,{"S","M","L","-"},0),VLOOKUP(D533,Menu!$A$2:$F$105,3,0),VLOOKUP(D533,Menu!$A$2:$F$105,4,0),VLOOKUP(D533,Menu!$A$2:$F$105,5,0),VLOOKUP(D533,Menu!$A$2:$F$105,6,0)),"N/A"))</f>
        <v>59</v>
      </c>
      <c r="H533" s="13">
        <f t="shared" si="2"/>
        <v>118</v>
      </c>
      <c r="I533" s="13">
        <f t="shared" si="4"/>
        <v>3472</v>
      </c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2">
        <v>45244.0</v>
      </c>
      <c r="B534" s="13" t="str">
        <f t="shared" si="1"/>
        <v>Tuesday</v>
      </c>
      <c r="C534" s="13" t="str">
        <f>IF(D534="","",VLOOKUP(D534,Menu!$A$2:$B$105,2,0))</f>
        <v>Pizza</v>
      </c>
      <c r="D534" s="13" t="s">
        <v>9</v>
      </c>
      <c r="E534" s="13" t="s">
        <v>2</v>
      </c>
      <c r="F534" s="13">
        <v>1.0</v>
      </c>
      <c r="G534" s="13">
        <f t="array" ref="G534">IF(OR(D534="",E534=""),"",IFERROR(CHOOSE(MATCH(E534,{"S","M","L","-"},0),VLOOKUP(D534,Menu!$A$2:$F$105,3,0),VLOOKUP(D534,Menu!$A$2:$F$105,4,0),VLOOKUP(D534,Menu!$A$2:$F$105,5,0),VLOOKUP(D534,Menu!$A$2:$F$105,6,0)),"N/A"))</f>
        <v>59</v>
      </c>
      <c r="H534" s="13">
        <f t="shared" si="2"/>
        <v>59</v>
      </c>
      <c r="I534" s="13">
        <f t="shared" si="4"/>
        <v>3472</v>
      </c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2">
        <v>45244.0</v>
      </c>
      <c r="B535" s="13" t="str">
        <f t="shared" si="1"/>
        <v>Tuesday</v>
      </c>
      <c r="C535" s="13" t="str">
        <f>IF(D535="","",VLOOKUP(D535,Menu!$A$2:$B$105,2,0))</f>
        <v>Burger</v>
      </c>
      <c r="D535" s="13" t="s">
        <v>29</v>
      </c>
      <c r="E535" s="13" t="s">
        <v>5</v>
      </c>
      <c r="F535" s="13">
        <v>8.0</v>
      </c>
      <c r="G535" s="13">
        <f t="array" ref="G535">IF(OR(D535="",E535=""),"",IFERROR(CHOOSE(MATCH(E535,{"S","M","L","-"},0),VLOOKUP(D535,Menu!$A$2:$F$105,3,0),VLOOKUP(D535,Menu!$A$2:$F$105,4,0),VLOOKUP(D535,Menu!$A$2:$F$105,5,0),VLOOKUP(D535,Menu!$A$2:$F$105,6,0)),"N/A"))</f>
        <v>59</v>
      </c>
      <c r="H535" s="13">
        <f t="shared" si="2"/>
        <v>472</v>
      </c>
      <c r="I535" s="13">
        <f t="shared" si="4"/>
        <v>3472</v>
      </c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2">
        <v>45244.0</v>
      </c>
      <c r="B536" s="13" t="str">
        <f t="shared" si="1"/>
        <v>Tuesday</v>
      </c>
      <c r="C536" s="13" t="str">
        <f>IF(D536="","",VLOOKUP(D536,Menu!$A$2:$B$105,2,0))</f>
        <v>Pizza</v>
      </c>
      <c r="D536" s="13" t="s">
        <v>16</v>
      </c>
      <c r="E536" s="13" t="s">
        <v>3</v>
      </c>
      <c r="F536" s="13">
        <v>1.0</v>
      </c>
      <c r="G536" s="13">
        <f t="array" ref="G536">IF(OR(D536="",E536=""),"",IFERROR(CHOOSE(MATCH(E536,{"S","M","L","-"},0),VLOOKUP(D536,Menu!$A$2:$F$105,3,0),VLOOKUP(D536,Menu!$A$2:$F$105,4,0),VLOOKUP(D536,Menu!$A$2:$F$105,5,0),VLOOKUP(D536,Menu!$A$2:$F$105,6,0)),"N/A"))</f>
        <v>199</v>
      </c>
      <c r="H536" s="13">
        <f t="shared" si="2"/>
        <v>199</v>
      </c>
      <c r="I536" s="13">
        <f t="shared" si="4"/>
        <v>3472</v>
      </c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2">
        <v>45244.0</v>
      </c>
      <c r="B537" s="13" t="str">
        <f t="shared" si="1"/>
        <v>Tuesday</v>
      </c>
      <c r="C537" s="13" t="str">
        <f>IF(D537="","",VLOOKUP(D537,Menu!$A$2:$B$105,2,0))</f>
        <v>Pizza</v>
      </c>
      <c r="D537" s="13" t="s">
        <v>15</v>
      </c>
      <c r="E537" s="13" t="s">
        <v>4</v>
      </c>
      <c r="F537" s="13">
        <v>1.0</v>
      </c>
      <c r="G537" s="13">
        <f t="array" ref="G537">IF(OR(D537="",E537=""),"",IFERROR(CHOOSE(MATCH(E537,{"S","M","L","-"},0),VLOOKUP(D537,Menu!$A$2:$F$105,3,0),VLOOKUP(D537,Menu!$A$2:$F$105,4,0),VLOOKUP(D537,Menu!$A$2:$F$105,5,0),VLOOKUP(D537,Menu!$A$2:$F$105,6,0)),"N/A"))</f>
        <v>249</v>
      </c>
      <c r="H537" s="13">
        <f t="shared" si="2"/>
        <v>249</v>
      </c>
      <c r="I537" s="13">
        <f t="shared" si="4"/>
        <v>3472</v>
      </c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2">
        <v>45244.0</v>
      </c>
      <c r="B538" s="13" t="str">
        <f t="shared" si="1"/>
        <v>Tuesday</v>
      </c>
      <c r="C538" s="13" t="str">
        <f>IF(D538="","",VLOOKUP(D538,Menu!$A$2:$B$105,2,0))</f>
        <v>Pizza</v>
      </c>
      <c r="D538" s="13" t="s">
        <v>6</v>
      </c>
      <c r="E538" s="13" t="s">
        <v>2</v>
      </c>
      <c r="F538" s="13">
        <v>2.0</v>
      </c>
      <c r="G538" s="13">
        <f t="array" ref="G538">IF(OR(D538="",E538=""),"",IFERROR(CHOOSE(MATCH(E538,{"S","M","L","-"},0),VLOOKUP(D538,Menu!$A$2:$F$105,3,0),VLOOKUP(D538,Menu!$A$2:$F$105,4,0),VLOOKUP(D538,Menu!$A$2:$F$105,5,0),VLOOKUP(D538,Menu!$A$2:$F$105,6,0)),"N/A"))</f>
        <v>49</v>
      </c>
      <c r="H538" s="13">
        <f t="shared" si="2"/>
        <v>98</v>
      </c>
      <c r="I538" s="13">
        <f t="shared" si="4"/>
        <v>3472</v>
      </c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9">
        <v>45245.0</v>
      </c>
      <c r="B539" s="10" t="str">
        <f t="shared" si="1"/>
        <v>Wednesday</v>
      </c>
      <c r="C539" s="10" t="str">
        <f>IF(D539="","",VLOOKUP(D539,Menu!$A$2:$B$105,2,0))</f>
        <v>Pizza</v>
      </c>
      <c r="D539" s="10" t="s">
        <v>21</v>
      </c>
      <c r="E539" s="10" t="s">
        <v>2</v>
      </c>
      <c r="F539" s="10">
        <v>1.0</v>
      </c>
      <c r="G539" s="10">
        <f t="array" ref="G539">IF(OR(D539="",E539=""),"",IFERROR(CHOOSE(MATCH(E539,{"S","M","L","-"},0),VLOOKUP(D539,Menu!$A$2:$F$105,3,0),VLOOKUP(D539,Menu!$A$2:$F$105,4,0),VLOOKUP(D539,Menu!$A$2:$F$105,5,0),VLOOKUP(D539,Menu!$A$2:$F$105,6,0)),"N/A"))</f>
        <v>119</v>
      </c>
      <c r="H539" s="10">
        <f t="shared" si="2"/>
        <v>119</v>
      </c>
      <c r="I539" s="10">
        <f t="shared" si="4"/>
        <v>855</v>
      </c>
      <c r="J539" s="10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9">
        <v>45245.0</v>
      </c>
      <c r="B540" s="10" t="str">
        <f t="shared" si="1"/>
        <v>Wednesday</v>
      </c>
      <c r="C540" s="10" t="str">
        <f>IF(D540="","",VLOOKUP(D540,Menu!$A$2:$B$105,2,0))</f>
        <v>Pizza</v>
      </c>
      <c r="D540" s="10" t="s">
        <v>11</v>
      </c>
      <c r="E540" s="10" t="s">
        <v>4</v>
      </c>
      <c r="F540" s="10">
        <v>1.0</v>
      </c>
      <c r="G540" s="10">
        <f t="array" ref="G540">IF(OR(D540="",E540=""),"",IFERROR(CHOOSE(MATCH(E540,{"S","M","L","-"},0),VLOOKUP(D540,Menu!$A$2:$F$105,3,0),VLOOKUP(D540,Menu!$A$2:$F$105,4,0),VLOOKUP(D540,Menu!$A$2:$F$105,5,0),VLOOKUP(D540,Menu!$A$2:$F$105,6,0)),"N/A"))</f>
        <v>209</v>
      </c>
      <c r="H540" s="10">
        <f t="shared" si="2"/>
        <v>209</v>
      </c>
      <c r="I540" s="10">
        <f t="shared" si="4"/>
        <v>855</v>
      </c>
      <c r="J540" s="10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9">
        <v>45245.0</v>
      </c>
      <c r="B541" s="10" t="str">
        <f t="shared" si="1"/>
        <v>Wednesday</v>
      </c>
      <c r="C541" s="10" t="str">
        <f>IF(D541="","",VLOOKUP(D541,Menu!$A$2:$B$105,2,0))</f>
        <v>Pizza</v>
      </c>
      <c r="D541" s="10" t="s">
        <v>18</v>
      </c>
      <c r="E541" s="10" t="s">
        <v>3</v>
      </c>
      <c r="F541" s="10">
        <v>1.0</v>
      </c>
      <c r="G541" s="10">
        <f t="array" ref="G541">IF(OR(D541="",E541=""),"",IFERROR(CHOOSE(MATCH(E541,{"S","M","L","-"},0),VLOOKUP(D541,Menu!$A$2:$F$105,3,0),VLOOKUP(D541,Menu!$A$2:$F$105,4,0),VLOOKUP(D541,Menu!$A$2:$F$105,5,0),VLOOKUP(D541,Menu!$A$2:$F$105,6,0)),"N/A"))</f>
        <v>199</v>
      </c>
      <c r="H541" s="10">
        <f t="shared" si="2"/>
        <v>199</v>
      </c>
      <c r="I541" s="10">
        <f t="shared" si="4"/>
        <v>855</v>
      </c>
      <c r="J541" s="10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9">
        <v>45245.0</v>
      </c>
      <c r="B542" s="10" t="str">
        <f t="shared" si="1"/>
        <v>Wednesday</v>
      </c>
      <c r="C542" s="10" t="str">
        <f>IF(D542="","",VLOOKUP(D542,Menu!$A$2:$B$105,2,0))</f>
        <v>Pizza</v>
      </c>
      <c r="D542" s="10" t="s">
        <v>14</v>
      </c>
      <c r="E542" s="10" t="s">
        <v>3</v>
      </c>
      <c r="F542" s="10">
        <v>1.0</v>
      </c>
      <c r="G542" s="10">
        <f t="array" ref="G542">IF(OR(D542="",E542=""),"",IFERROR(CHOOSE(MATCH(E542,{"S","M","L","-"},0),VLOOKUP(D542,Menu!$A$2:$F$105,3,0),VLOOKUP(D542,Menu!$A$2:$F$105,4,0),VLOOKUP(D542,Menu!$A$2:$F$105,5,0),VLOOKUP(D542,Menu!$A$2:$F$105,6,0)),"N/A"))</f>
        <v>129</v>
      </c>
      <c r="H542" s="10">
        <f t="shared" si="2"/>
        <v>129</v>
      </c>
      <c r="I542" s="10">
        <f t="shared" si="4"/>
        <v>855</v>
      </c>
      <c r="J542" s="10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9">
        <v>45245.0</v>
      </c>
      <c r="B543" s="10" t="str">
        <f t="shared" si="1"/>
        <v>Wednesday</v>
      </c>
      <c r="C543" s="10" t="str">
        <f>IF(D543="","",VLOOKUP(D543,Menu!$A$2:$B$105,2,0))</f>
        <v>Pizza</v>
      </c>
      <c r="D543" s="10" t="s">
        <v>8</v>
      </c>
      <c r="E543" s="10" t="s">
        <v>4</v>
      </c>
      <c r="F543" s="10">
        <v>1.0</v>
      </c>
      <c r="G543" s="10">
        <f t="array" ref="G543">IF(OR(D543="",E543=""),"",IFERROR(CHOOSE(MATCH(E543,{"S","M","L","-"},0),VLOOKUP(D543,Menu!$A$2:$F$105,3,0),VLOOKUP(D543,Menu!$A$2:$F$105,4,0),VLOOKUP(D543,Menu!$A$2:$F$105,5,0),VLOOKUP(D543,Menu!$A$2:$F$105,6,0)),"N/A"))</f>
        <v>199</v>
      </c>
      <c r="H543" s="10">
        <f t="shared" si="2"/>
        <v>199</v>
      </c>
      <c r="I543" s="10">
        <f t="shared" si="4"/>
        <v>855</v>
      </c>
      <c r="J543" s="10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6">
        <v>45246.0</v>
      </c>
      <c r="B544" s="17" t="str">
        <f t="shared" si="1"/>
        <v>Thursday</v>
      </c>
      <c r="C544" s="17" t="str">
        <f>IF(D544="","",VLOOKUP(D544,Menu!$A$2:$B$105,2,0))</f>
        <v>Pizza</v>
      </c>
      <c r="D544" s="17" t="s">
        <v>13</v>
      </c>
      <c r="E544" s="17" t="s">
        <v>4</v>
      </c>
      <c r="F544" s="17">
        <v>1.0</v>
      </c>
      <c r="G544" s="17">
        <f t="array" ref="G544">IF(OR(D544="",E544=""),"",IFERROR(CHOOSE(MATCH(E544,{"S","M","L","-"},0),VLOOKUP(D544,Menu!$A$2:$F$105,3,0),VLOOKUP(D544,Menu!$A$2:$F$105,4,0),VLOOKUP(D544,Menu!$A$2:$F$105,5,0),VLOOKUP(D544,Menu!$A$2:$F$105,6,0)),"N/A"))</f>
        <v>209</v>
      </c>
      <c r="H544" s="17">
        <f t="shared" si="2"/>
        <v>209</v>
      </c>
      <c r="I544" s="17">
        <f t="shared" si="4"/>
        <v>1069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6">
        <v>45246.0</v>
      </c>
      <c r="B545" s="17" t="str">
        <f t="shared" si="1"/>
        <v>Thursday</v>
      </c>
      <c r="C545" s="17" t="str">
        <f>IF(D545="","",VLOOKUP(D545,Menu!$A$2:$B$105,2,0))</f>
        <v>Burger</v>
      </c>
      <c r="D545" s="17" t="s">
        <v>27</v>
      </c>
      <c r="E545" s="17" t="s">
        <v>5</v>
      </c>
      <c r="F545" s="17">
        <v>5.0</v>
      </c>
      <c r="G545" s="17">
        <f t="array" ref="G545">IF(OR(D545="",E545=""),"",IFERROR(CHOOSE(MATCH(E545,{"S","M","L","-"},0),VLOOKUP(D545,Menu!$A$2:$F$105,3,0),VLOOKUP(D545,Menu!$A$2:$F$105,4,0),VLOOKUP(D545,Menu!$A$2:$F$105,5,0),VLOOKUP(D545,Menu!$A$2:$F$105,6,0)),"N/A"))</f>
        <v>39</v>
      </c>
      <c r="H545" s="17">
        <f t="shared" si="2"/>
        <v>195</v>
      </c>
      <c r="I545" s="17">
        <f t="shared" si="4"/>
        <v>1069</v>
      </c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6">
        <v>45246.0</v>
      </c>
      <c r="B546" s="17" t="str">
        <f t="shared" si="1"/>
        <v>Thursday</v>
      </c>
      <c r="C546" s="17" t="str">
        <f>IF(D546="","",VLOOKUP(D546,Menu!$A$2:$B$105,2,0))</f>
        <v>Pizza</v>
      </c>
      <c r="D546" s="17" t="s">
        <v>20</v>
      </c>
      <c r="E546" s="17" t="s">
        <v>3</v>
      </c>
      <c r="F546" s="17">
        <v>1.0</v>
      </c>
      <c r="G546" s="17">
        <f t="array" ref="G546">IF(OR(D546="",E546=""),"",IFERROR(CHOOSE(MATCH(E546,{"S","M","L","-"},0),VLOOKUP(D546,Menu!$A$2:$F$105,3,0),VLOOKUP(D546,Menu!$A$2:$F$105,4,0),VLOOKUP(D546,Menu!$A$2:$F$105,5,0),VLOOKUP(D546,Menu!$A$2:$F$105,6,0)),"N/A"))</f>
        <v>199</v>
      </c>
      <c r="H546" s="17">
        <f t="shared" si="2"/>
        <v>199</v>
      </c>
      <c r="I546" s="17">
        <f t="shared" si="4"/>
        <v>1069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6">
        <v>45246.0</v>
      </c>
      <c r="B547" s="17" t="str">
        <f t="shared" si="1"/>
        <v>Thursday</v>
      </c>
      <c r="C547" s="17" t="str">
        <f>IF(D547="","",VLOOKUP(D547,Menu!$A$2:$B$105,2,0))</f>
        <v>Pizza</v>
      </c>
      <c r="D547" s="17" t="s">
        <v>11</v>
      </c>
      <c r="E547" s="17" t="s">
        <v>2</v>
      </c>
      <c r="F547" s="17">
        <v>1.0</v>
      </c>
      <c r="G547" s="17">
        <f t="array" ref="G547">IF(OR(D547="",E547=""),"",IFERROR(CHOOSE(MATCH(E547,{"S","M","L","-"},0),VLOOKUP(D547,Menu!$A$2:$F$105,3,0),VLOOKUP(D547,Menu!$A$2:$F$105,4,0),VLOOKUP(D547,Menu!$A$2:$F$105,5,0),VLOOKUP(D547,Menu!$A$2:$F$105,6,0)),"N/A"))</f>
        <v>69</v>
      </c>
      <c r="H547" s="17">
        <f t="shared" si="2"/>
        <v>69</v>
      </c>
      <c r="I547" s="17">
        <f t="shared" si="4"/>
        <v>1069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6">
        <v>45246.0</v>
      </c>
      <c r="B548" s="17" t="str">
        <f t="shared" si="1"/>
        <v>Thursday</v>
      </c>
      <c r="C548" s="17" t="str">
        <f>IF(D548="","",VLOOKUP(D548,Menu!$A$2:$B$105,2,0))</f>
        <v>Pizza</v>
      </c>
      <c r="D548" s="17" t="s">
        <v>16</v>
      </c>
      <c r="E548" s="17" t="s">
        <v>2</v>
      </c>
      <c r="F548" s="17">
        <v>1.0</v>
      </c>
      <c r="G548" s="17">
        <f t="array" ref="G548">IF(OR(D548="",E548=""),"",IFERROR(CHOOSE(MATCH(E548,{"S","M","L","-"},0),VLOOKUP(D548,Menu!$A$2:$F$105,3,0),VLOOKUP(D548,Menu!$A$2:$F$105,4,0),VLOOKUP(D548,Menu!$A$2:$F$105,5,0),VLOOKUP(D548,Menu!$A$2:$F$105,6,0)),"N/A"))</f>
        <v>109</v>
      </c>
      <c r="H548" s="17">
        <f t="shared" si="2"/>
        <v>109</v>
      </c>
      <c r="I548" s="17">
        <f t="shared" si="4"/>
        <v>1069</v>
      </c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6">
        <v>45246.0</v>
      </c>
      <c r="B549" s="17" t="str">
        <f t="shared" si="1"/>
        <v>Thursday</v>
      </c>
      <c r="C549" s="17" t="str">
        <f>IF(D549="","",VLOOKUP(D549,Menu!$A$2:$B$105,2,0))</f>
        <v>Pizza</v>
      </c>
      <c r="D549" s="17" t="s">
        <v>20</v>
      </c>
      <c r="E549" s="17" t="s">
        <v>2</v>
      </c>
      <c r="F549" s="17">
        <v>1.0</v>
      </c>
      <c r="G549" s="17">
        <f t="array" ref="G549">IF(OR(D549="",E549=""),"",IFERROR(CHOOSE(MATCH(E549,{"S","M","L","-"},0),VLOOKUP(D549,Menu!$A$2:$F$105,3,0),VLOOKUP(D549,Menu!$A$2:$F$105,4,0),VLOOKUP(D549,Menu!$A$2:$F$105,5,0),VLOOKUP(D549,Menu!$A$2:$F$105,6,0)),"N/A"))</f>
        <v>119</v>
      </c>
      <c r="H549" s="17">
        <f t="shared" si="2"/>
        <v>119</v>
      </c>
      <c r="I549" s="17">
        <f t="shared" si="4"/>
        <v>1069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6">
        <v>45246.0</v>
      </c>
      <c r="B550" s="17" t="str">
        <f t="shared" si="1"/>
        <v>Thursday</v>
      </c>
      <c r="C550" s="17" t="str">
        <f>IF(D550="","",VLOOKUP(D550,Menu!$A$2:$B$105,2,0))</f>
        <v>Combo</v>
      </c>
      <c r="D550" s="17" t="s">
        <v>57</v>
      </c>
      <c r="E550" s="17" t="s">
        <v>5</v>
      </c>
      <c r="F550" s="17">
        <v>1.0</v>
      </c>
      <c r="G550" s="17">
        <f t="array" ref="G550">IF(OR(D550="",E550=""),"",IFERROR(CHOOSE(MATCH(E550,{"S","M","L","-"},0),VLOOKUP(D550,Menu!$A$2:$F$105,3,0),VLOOKUP(D550,Menu!$A$2:$F$105,4,0),VLOOKUP(D550,Menu!$A$2:$F$105,5,0),VLOOKUP(D550,Menu!$A$2:$F$105,6,0)),"N/A"))</f>
        <v>149</v>
      </c>
      <c r="H550" s="17">
        <f t="shared" si="2"/>
        <v>149</v>
      </c>
      <c r="I550" s="17">
        <f t="shared" si="4"/>
        <v>1069</v>
      </c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6">
        <v>45246.0</v>
      </c>
      <c r="B551" s="17" t="str">
        <f t="shared" si="1"/>
        <v>Thursday</v>
      </c>
      <c r="C551" s="17" t="str">
        <f>IF(D551="","",VLOOKUP(D551,Menu!$A$2:$B$105,2,0))</f>
        <v>Beverage</v>
      </c>
      <c r="D551" s="17" t="s">
        <v>63</v>
      </c>
      <c r="E551" s="17" t="s">
        <v>5</v>
      </c>
      <c r="F551" s="17">
        <v>1.0</v>
      </c>
      <c r="G551" s="17">
        <f t="array" ref="G551">IF(OR(D551="",E551=""),"",IFERROR(CHOOSE(MATCH(E551,{"S","M","L","-"},0),VLOOKUP(D551,Menu!$A$2:$F$105,3,0),VLOOKUP(D551,Menu!$A$2:$F$105,4,0),VLOOKUP(D551,Menu!$A$2:$F$105,5,0),VLOOKUP(D551,Menu!$A$2:$F$105,6,0)),"N/A"))</f>
        <v>20</v>
      </c>
      <c r="H551" s="17">
        <f t="shared" si="2"/>
        <v>20</v>
      </c>
      <c r="I551" s="17">
        <f t="shared" si="4"/>
        <v>1069</v>
      </c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8">
        <v>45247.0</v>
      </c>
      <c r="B552" s="19" t="str">
        <f t="shared" si="1"/>
        <v>Friday</v>
      </c>
      <c r="C552" s="19" t="str">
        <f>IF(D552="","",VLOOKUP(D552,Menu!$A$2:$B$105,2,0))</f>
        <v>Pizza</v>
      </c>
      <c r="D552" s="19" t="s">
        <v>15</v>
      </c>
      <c r="E552" s="19" t="s">
        <v>2</v>
      </c>
      <c r="F552" s="19">
        <v>1.0</v>
      </c>
      <c r="G552" s="19">
        <f t="array" ref="G552">IF(OR(D552="",E552=""),"",IFERROR(CHOOSE(MATCH(E552,{"S","M","L","-"},0),VLOOKUP(D552,Menu!$A$2:$F$105,3,0),VLOOKUP(D552,Menu!$A$2:$F$105,4,0),VLOOKUP(D552,Menu!$A$2:$F$105,5,0),VLOOKUP(D552,Menu!$A$2:$F$105,6,0)),"N/A"))</f>
        <v>99</v>
      </c>
      <c r="H552" s="19">
        <f t="shared" si="2"/>
        <v>99</v>
      </c>
      <c r="I552" s="19">
        <f t="shared" si="4"/>
        <v>1397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8">
        <v>45247.0</v>
      </c>
      <c r="B553" s="19" t="str">
        <f t="shared" si="1"/>
        <v>Friday</v>
      </c>
      <c r="C553" s="19" t="str">
        <f>IF(D553="","",VLOOKUP(D553,Menu!$A$2:$B$105,2,0))</f>
        <v>Burger</v>
      </c>
      <c r="D553" s="19" t="s">
        <v>27</v>
      </c>
      <c r="E553" s="19" t="s">
        <v>5</v>
      </c>
      <c r="F553" s="19">
        <v>5.0</v>
      </c>
      <c r="G553" s="19">
        <f t="array" ref="G553">IF(OR(D553="",E553=""),"",IFERROR(CHOOSE(MATCH(E553,{"S","M","L","-"},0),VLOOKUP(D553,Menu!$A$2:$F$105,3,0),VLOOKUP(D553,Menu!$A$2:$F$105,4,0),VLOOKUP(D553,Menu!$A$2:$F$105,5,0),VLOOKUP(D553,Menu!$A$2:$F$105,6,0)),"N/A"))</f>
        <v>39</v>
      </c>
      <c r="H553" s="19">
        <f t="shared" si="2"/>
        <v>195</v>
      </c>
      <c r="I553" s="19">
        <f t="shared" si="4"/>
        <v>1397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8">
        <v>45247.0</v>
      </c>
      <c r="B554" s="19" t="str">
        <f t="shared" si="1"/>
        <v>Friday</v>
      </c>
      <c r="C554" s="19" t="str">
        <f>IF(D554="","",VLOOKUP(D554,Menu!$A$2:$B$105,2,0))</f>
        <v>Pizza</v>
      </c>
      <c r="D554" s="19" t="s">
        <v>26</v>
      </c>
      <c r="E554" s="19" t="s">
        <v>5</v>
      </c>
      <c r="F554" s="19">
        <v>2.0</v>
      </c>
      <c r="G554" s="19">
        <f t="array" ref="G554">IF(OR(D554="",E554=""),"",IFERROR(CHOOSE(MATCH(E554,{"S","M","L","-"},0),VLOOKUP(D554,Menu!$A$2:$F$105,3,0),VLOOKUP(D554,Menu!$A$2:$F$105,4,0),VLOOKUP(D554,Menu!$A$2:$F$105,5,0),VLOOKUP(D554,Menu!$A$2:$F$105,6,0)),"N/A"))</f>
        <v>99</v>
      </c>
      <c r="H554" s="19">
        <f t="shared" si="2"/>
        <v>198</v>
      </c>
      <c r="I554" s="19">
        <f t="shared" si="4"/>
        <v>1397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8">
        <v>45247.0</v>
      </c>
      <c r="B555" s="19" t="str">
        <f t="shared" si="1"/>
        <v>Friday</v>
      </c>
      <c r="C555" s="19" t="str">
        <f>IF(D555="","",VLOOKUP(D555,Menu!$A$2:$B$105,2,0))</f>
        <v>Pizza</v>
      </c>
      <c r="D555" s="19" t="s">
        <v>15</v>
      </c>
      <c r="E555" s="19" t="s">
        <v>3</v>
      </c>
      <c r="F555" s="19">
        <v>2.0</v>
      </c>
      <c r="G555" s="19">
        <f t="array" ref="G555">IF(OR(D555="",E555=""),"",IFERROR(CHOOSE(MATCH(E555,{"S","M","L","-"},0),VLOOKUP(D555,Menu!$A$2:$F$105,3,0),VLOOKUP(D555,Menu!$A$2:$F$105,4,0),VLOOKUP(D555,Menu!$A$2:$F$105,5,0),VLOOKUP(D555,Menu!$A$2:$F$105,6,0)),"N/A"))</f>
        <v>149</v>
      </c>
      <c r="H555" s="19">
        <f t="shared" si="2"/>
        <v>298</v>
      </c>
      <c r="I555" s="19">
        <f t="shared" si="4"/>
        <v>1397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8">
        <v>45247.0</v>
      </c>
      <c r="B556" s="19" t="str">
        <f t="shared" si="1"/>
        <v>Friday</v>
      </c>
      <c r="C556" s="19" t="str">
        <f>IF(D556="","",VLOOKUP(D556,Menu!$A$2:$B$105,2,0))</f>
        <v>Pizza</v>
      </c>
      <c r="D556" s="19" t="s">
        <v>17</v>
      </c>
      <c r="E556" s="19" t="s">
        <v>3</v>
      </c>
      <c r="F556" s="19">
        <v>2.0</v>
      </c>
      <c r="G556" s="19">
        <f t="array" ref="G556">IF(OR(D556="",E556=""),"",IFERROR(CHOOSE(MATCH(E556,{"S","M","L","-"},0),VLOOKUP(D556,Menu!$A$2:$F$105,3,0),VLOOKUP(D556,Menu!$A$2:$F$105,4,0),VLOOKUP(D556,Menu!$A$2:$F$105,5,0),VLOOKUP(D556,Menu!$A$2:$F$105,6,0)),"N/A"))</f>
        <v>199</v>
      </c>
      <c r="H556" s="19">
        <f t="shared" si="2"/>
        <v>398</v>
      </c>
      <c r="I556" s="19">
        <f t="shared" si="4"/>
        <v>1397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8">
        <v>45247.0</v>
      </c>
      <c r="B557" s="19" t="str">
        <f t="shared" si="1"/>
        <v>Friday</v>
      </c>
      <c r="C557" s="19" t="str">
        <f>IF(D557="","",VLOOKUP(D557,Menu!$A$2:$B$105,2,0))</f>
        <v>Pizza</v>
      </c>
      <c r="D557" s="19" t="s">
        <v>11</v>
      </c>
      <c r="E557" s="19" t="s">
        <v>3</v>
      </c>
      <c r="F557" s="19">
        <v>1.0</v>
      </c>
      <c r="G557" s="19">
        <f t="array" ref="G557">IF(OR(D557="",E557=""),"",IFERROR(CHOOSE(MATCH(E557,{"S","M","L","-"},0),VLOOKUP(D557,Menu!$A$2:$F$105,3,0),VLOOKUP(D557,Menu!$A$2:$F$105,4,0),VLOOKUP(D557,Menu!$A$2:$F$105,5,0),VLOOKUP(D557,Menu!$A$2:$F$105,6,0)),"N/A"))</f>
        <v>109</v>
      </c>
      <c r="H557" s="19">
        <f t="shared" si="2"/>
        <v>109</v>
      </c>
      <c r="I557" s="19">
        <f t="shared" si="4"/>
        <v>1397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8">
        <v>45247.0</v>
      </c>
      <c r="B558" s="19" t="str">
        <f t="shared" si="1"/>
        <v>Friday</v>
      </c>
      <c r="C558" s="19" t="str">
        <f>IF(D558="","",VLOOKUP(D558,Menu!$A$2:$B$105,2,0))</f>
        <v>Beverage</v>
      </c>
      <c r="D558" s="19" t="s">
        <v>63</v>
      </c>
      <c r="E558" s="19" t="s">
        <v>5</v>
      </c>
      <c r="F558" s="19">
        <v>1.0</v>
      </c>
      <c r="G558" s="19">
        <f t="array" ref="G558">IF(OR(D558="",E558=""),"",IFERROR(CHOOSE(MATCH(E558,{"S","M","L","-"},0),VLOOKUP(D558,Menu!$A$2:$F$105,3,0),VLOOKUP(D558,Menu!$A$2:$F$105,4,0),VLOOKUP(D558,Menu!$A$2:$F$105,5,0),VLOOKUP(D558,Menu!$A$2:$F$105,6,0)),"N/A"))</f>
        <v>20</v>
      </c>
      <c r="H558" s="19">
        <f t="shared" si="2"/>
        <v>20</v>
      </c>
      <c r="I558" s="19">
        <f t="shared" si="4"/>
        <v>1397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8">
        <v>45247.0</v>
      </c>
      <c r="B559" s="19" t="str">
        <f t="shared" si="1"/>
        <v>Friday</v>
      </c>
      <c r="C559" s="19" t="str">
        <f>IF(D559="","",VLOOKUP(D559,Menu!$A$2:$B$105,2,0))</f>
        <v>Add-on</v>
      </c>
      <c r="D559" s="19" t="s">
        <v>67</v>
      </c>
      <c r="E559" s="19" t="s">
        <v>5</v>
      </c>
      <c r="F559" s="19">
        <v>2.0</v>
      </c>
      <c r="G559" s="19">
        <f t="array" ref="G559">IF(OR(D559="",E559=""),"",IFERROR(CHOOSE(MATCH(E559,{"S","M","L","-"},0),VLOOKUP(D559,Menu!$A$2:$F$105,3,0),VLOOKUP(D559,Menu!$A$2:$F$105,4,0),VLOOKUP(D559,Menu!$A$2:$F$105,5,0),VLOOKUP(D559,Menu!$A$2:$F$105,6,0)),"N/A"))</f>
        <v>40</v>
      </c>
      <c r="H559" s="19">
        <f t="shared" si="2"/>
        <v>80</v>
      </c>
      <c r="I559" s="19">
        <f t="shared" si="4"/>
        <v>1397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6">
        <v>45248.0</v>
      </c>
      <c r="B560" s="17" t="str">
        <f t="shared" si="1"/>
        <v>Saturday</v>
      </c>
      <c r="C560" s="17" t="str">
        <f>IF(D560="","",VLOOKUP(D560,Menu!$A$2:$B$105,2,0))</f>
        <v>Pizza</v>
      </c>
      <c r="D560" s="17" t="s">
        <v>9</v>
      </c>
      <c r="E560" s="17" t="s">
        <v>2</v>
      </c>
      <c r="F560" s="17">
        <v>1.0</v>
      </c>
      <c r="G560" s="17">
        <f t="array" ref="G560">IF(OR(D560="",E560=""),"",IFERROR(CHOOSE(MATCH(E560,{"S","M","L","-"},0),VLOOKUP(D560,Menu!$A$2:$F$105,3,0),VLOOKUP(D560,Menu!$A$2:$F$105,4,0),VLOOKUP(D560,Menu!$A$2:$F$105,5,0),VLOOKUP(D560,Menu!$A$2:$F$105,6,0)),"N/A"))</f>
        <v>59</v>
      </c>
      <c r="H560" s="17">
        <f t="shared" si="2"/>
        <v>59</v>
      </c>
      <c r="I560" s="17">
        <f t="shared" si="4"/>
        <v>830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6">
        <v>45248.0</v>
      </c>
      <c r="B561" s="17" t="str">
        <f t="shared" si="1"/>
        <v>Saturday</v>
      </c>
      <c r="C561" s="17" t="str">
        <f>IF(D561="","",VLOOKUP(D561,Menu!$A$2:$B$105,2,0))</f>
        <v>Burger</v>
      </c>
      <c r="D561" s="17" t="s">
        <v>27</v>
      </c>
      <c r="E561" s="17" t="s">
        <v>5</v>
      </c>
      <c r="F561" s="17">
        <v>2.0</v>
      </c>
      <c r="G561" s="17">
        <f t="array" ref="G561">IF(OR(D561="",E561=""),"",IFERROR(CHOOSE(MATCH(E561,{"S","M","L","-"},0),VLOOKUP(D561,Menu!$A$2:$F$105,3,0),VLOOKUP(D561,Menu!$A$2:$F$105,4,0),VLOOKUP(D561,Menu!$A$2:$F$105,5,0),VLOOKUP(D561,Menu!$A$2:$F$105,6,0)),"N/A"))</f>
        <v>39</v>
      </c>
      <c r="H561" s="17">
        <f t="shared" si="2"/>
        <v>78</v>
      </c>
      <c r="I561" s="17">
        <f t="shared" si="4"/>
        <v>830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6">
        <v>45248.0</v>
      </c>
      <c r="B562" s="17" t="str">
        <f t="shared" si="1"/>
        <v>Saturday</v>
      </c>
      <c r="C562" s="17" t="str">
        <f>IF(D562="","",VLOOKUP(D562,Menu!$A$2:$B$105,2,0))</f>
        <v>Pizza</v>
      </c>
      <c r="D562" s="17" t="s">
        <v>8</v>
      </c>
      <c r="E562" s="17" t="s">
        <v>2</v>
      </c>
      <c r="F562" s="17">
        <v>2.0</v>
      </c>
      <c r="G562" s="17">
        <f t="array" ref="G562">IF(OR(D562="",E562=""),"",IFERROR(CHOOSE(MATCH(E562,{"S","M","L","-"},0),VLOOKUP(D562,Menu!$A$2:$F$105,3,0),VLOOKUP(D562,Menu!$A$2:$F$105,4,0),VLOOKUP(D562,Menu!$A$2:$F$105,5,0),VLOOKUP(D562,Menu!$A$2:$F$105,6,0)),"N/A"))</f>
        <v>59</v>
      </c>
      <c r="H562" s="17">
        <f t="shared" si="2"/>
        <v>118</v>
      </c>
      <c r="I562" s="17">
        <f t="shared" si="4"/>
        <v>830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6">
        <v>45248.0</v>
      </c>
      <c r="B563" s="17" t="str">
        <f t="shared" si="1"/>
        <v>Saturday</v>
      </c>
      <c r="C563" s="17" t="str">
        <f>IF(D563="","",VLOOKUP(D563,Menu!$A$2:$B$105,2,0))</f>
        <v>Beverage</v>
      </c>
      <c r="D563" s="17" t="s">
        <v>63</v>
      </c>
      <c r="E563" s="17" t="s">
        <v>5</v>
      </c>
      <c r="F563" s="17">
        <v>1.0</v>
      </c>
      <c r="G563" s="17">
        <f t="array" ref="G563">IF(OR(D563="",E563=""),"",IFERROR(CHOOSE(MATCH(E563,{"S","M","L","-"},0),VLOOKUP(D563,Menu!$A$2:$F$105,3,0),VLOOKUP(D563,Menu!$A$2:$F$105,4,0),VLOOKUP(D563,Menu!$A$2:$F$105,5,0),VLOOKUP(D563,Menu!$A$2:$F$105,6,0)),"N/A"))</f>
        <v>20</v>
      </c>
      <c r="H563" s="17">
        <f t="shared" si="2"/>
        <v>20</v>
      </c>
      <c r="I563" s="17">
        <f t="shared" si="4"/>
        <v>830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6">
        <v>45248.0</v>
      </c>
      <c r="B564" s="17" t="str">
        <f t="shared" si="1"/>
        <v>Saturday</v>
      </c>
      <c r="C564" s="17" t="str">
        <f>IF(D564="","",VLOOKUP(D564,Menu!$A$2:$B$105,2,0))</f>
        <v>Pizza</v>
      </c>
      <c r="D564" s="17" t="s">
        <v>6</v>
      </c>
      <c r="E564" s="17" t="s">
        <v>2</v>
      </c>
      <c r="F564" s="17">
        <v>2.0</v>
      </c>
      <c r="G564" s="17">
        <f t="array" ref="G564">IF(OR(D564="",E564=""),"",IFERROR(CHOOSE(MATCH(E564,{"S","M","L","-"},0),VLOOKUP(D564,Menu!$A$2:$F$105,3,0),VLOOKUP(D564,Menu!$A$2:$F$105,4,0),VLOOKUP(D564,Menu!$A$2:$F$105,5,0),VLOOKUP(D564,Menu!$A$2:$F$105,6,0)),"N/A"))</f>
        <v>49</v>
      </c>
      <c r="H564" s="17">
        <f t="shared" si="2"/>
        <v>98</v>
      </c>
      <c r="I564" s="17">
        <f t="shared" si="4"/>
        <v>830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6">
        <v>45248.0</v>
      </c>
      <c r="B565" s="17" t="str">
        <f t="shared" si="1"/>
        <v>Saturday</v>
      </c>
      <c r="C565" s="17" t="str">
        <f>IF(D565="","",VLOOKUP(D565,Menu!$A$2:$B$105,2,0))</f>
        <v>Pizza</v>
      </c>
      <c r="D565" s="17" t="s">
        <v>11</v>
      </c>
      <c r="E565" s="17" t="s">
        <v>3</v>
      </c>
      <c r="F565" s="17">
        <v>1.0</v>
      </c>
      <c r="G565" s="17">
        <f t="array" ref="G565">IF(OR(D565="",E565=""),"",IFERROR(CHOOSE(MATCH(E565,{"S","M","L","-"},0),VLOOKUP(D565,Menu!$A$2:$F$105,3,0),VLOOKUP(D565,Menu!$A$2:$F$105,4,0),VLOOKUP(D565,Menu!$A$2:$F$105,5,0),VLOOKUP(D565,Menu!$A$2:$F$105,6,0)),"N/A"))</f>
        <v>109</v>
      </c>
      <c r="H565" s="17">
        <f t="shared" si="2"/>
        <v>109</v>
      </c>
      <c r="I565" s="17">
        <f t="shared" si="4"/>
        <v>830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6">
        <v>45248.0</v>
      </c>
      <c r="B566" s="17" t="str">
        <f t="shared" si="1"/>
        <v>Saturday</v>
      </c>
      <c r="C566" s="17" t="str">
        <f>IF(D566="","",VLOOKUP(D566,Menu!$A$2:$B$105,2,0))</f>
        <v>Pizza</v>
      </c>
      <c r="D566" s="17" t="s">
        <v>15</v>
      </c>
      <c r="E566" s="17" t="s">
        <v>3</v>
      </c>
      <c r="F566" s="17">
        <v>1.0</v>
      </c>
      <c r="G566" s="17">
        <f t="array" ref="G566">IF(OR(D566="",E566=""),"",IFERROR(CHOOSE(MATCH(E566,{"S","M","L","-"},0),VLOOKUP(D566,Menu!$A$2:$F$105,3,0),VLOOKUP(D566,Menu!$A$2:$F$105,4,0),VLOOKUP(D566,Menu!$A$2:$F$105,5,0),VLOOKUP(D566,Menu!$A$2:$F$105,6,0)),"N/A"))</f>
        <v>149</v>
      </c>
      <c r="H566" s="17">
        <f t="shared" si="2"/>
        <v>149</v>
      </c>
      <c r="I566" s="17">
        <f t="shared" si="4"/>
        <v>830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6">
        <v>45248.0</v>
      </c>
      <c r="B567" s="17" t="str">
        <f t="shared" si="1"/>
        <v>Saturday</v>
      </c>
      <c r="C567" s="17" t="str">
        <f>IF(D567="","",VLOOKUP(D567,Menu!$A$2:$B$105,2,0))</f>
        <v>Pizza</v>
      </c>
      <c r="D567" s="17" t="s">
        <v>10</v>
      </c>
      <c r="E567" s="17" t="s">
        <v>4</v>
      </c>
      <c r="F567" s="17">
        <v>1.0</v>
      </c>
      <c r="G567" s="17">
        <f t="array" ref="G567">IF(OR(D567="",E567=""),"",IFERROR(CHOOSE(MATCH(E567,{"S","M","L","-"},0),VLOOKUP(D567,Menu!$A$2:$F$105,3,0),VLOOKUP(D567,Menu!$A$2:$F$105,4,0),VLOOKUP(D567,Menu!$A$2:$F$105,5,0),VLOOKUP(D567,Menu!$A$2:$F$105,6,0)),"N/A"))</f>
        <v>199</v>
      </c>
      <c r="H567" s="17">
        <f t="shared" si="2"/>
        <v>199</v>
      </c>
      <c r="I567" s="17">
        <f t="shared" si="4"/>
        <v>830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8">
        <v>45249.0</v>
      </c>
      <c r="B568" s="19" t="str">
        <f t="shared" si="1"/>
        <v>Sunday</v>
      </c>
      <c r="C568" s="19" t="str">
        <f>IF(D568="","",VLOOKUP(D568,Menu!$A$2:$B$105,2,0))</f>
        <v>Pizza</v>
      </c>
      <c r="D568" s="19" t="s">
        <v>19</v>
      </c>
      <c r="E568" s="19" t="s">
        <v>4</v>
      </c>
      <c r="F568" s="19">
        <v>1.0</v>
      </c>
      <c r="G568" s="19">
        <f t="array" ref="G568">IF(OR(D568="",E568=""),"",IFERROR(CHOOSE(MATCH(E568,{"S","M","L","-"},0),VLOOKUP(D568,Menu!$A$2:$F$105,3,0),VLOOKUP(D568,Menu!$A$2:$F$105,4,0),VLOOKUP(D568,Menu!$A$2:$F$105,5,0),VLOOKUP(D568,Menu!$A$2:$F$105,6,0)),"N/A"))</f>
        <v>289</v>
      </c>
      <c r="H568" s="19">
        <f t="shared" si="2"/>
        <v>289</v>
      </c>
      <c r="I568" s="19">
        <f t="shared" si="4"/>
        <v>1131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8">
        <v>45249.0</v>
      </c>
      <c r="B569" s="19" t="str">
        <f t="shared" si="1"/>
        <v>Sunday</v>
      </c>
      <c r="C569" s="19" t="str">
        <f>IF(D569="","",VLOOKUP(D569,Menu!$A$2:$B$105,2,0))</f>
        <v>Pizza</v>
      </c>
      <c r="D569" s="19" t="s">
        <v>6</v>
      </c>
      <c r="E569" s="19" t="s">
        <v>2</v>
      </c>
      <c r="F569" s="19">
        <v>1.0</v>
      </c>
      <c r="G569" s="19">
        <f t="array" ref="G569">IF(OR(D569="",E569=""),"",IFERROR(CHOOSE(MATCH(E569,{"S","M","L","-"},0),VLOOKUP(D569,Menu!$A$2:$F$105,3,0),VLOOKUP(D569,Menu!$A$2:$F$105,4,0),VLOOKUP(D569,Menu!$A$2:$F$105,5,0),VLOOKUP(D569,Menu!$A$2:$F$105,6,0)),"N/A"))</f>
        <v>49</v>
      </c>
      <c r="H569" s="19">
        <f t="shared" si="2"/>
        <v>49</v>
      </c>
      <c r="I569" s="19">
        <f t="shared" si="4"/>
        <v>1131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8">
        <v>45249.0</v>
      </c>
      <c r="B570" s="19" t="str">
        <f t="shared" si="1"/>
        <v>Sunday</v>
      </c>
      <c r="C570" s="19" t="str">
        <f>IF(D570="","",VLOOKUP(D570,Menu!$A$2:$B$105,2,0))</f>
        <v>Beverage</v>
      </c>
      <c r="D570" s="19" t="s">
        <v>65</v>
      </c>
      <c r="E570" s="19" t="s">
        <v>5</v>
      </c>
      <c r="F570" s="19">
        <v>5.0</v>
      </c>
      <c r="G570" s="19">
        <f t="array" ref="G570">IF(OR(D570="",E570=""),"",IFERROR(CHOOSE(MATCH(E570,{"S","M","L","-"},0),VLOOKUP(D570,Menu!$A$2:$F$105,3,0),VLOOKUP(D570,Menu!$A$2:$F$105,4,0),VLOOKUP(D570,Menu!$A$2:$F$105,5,0),VLOOKUP(D570,Menu!$A$2:$F$105,6,0)),"N/A"))</f>
        <v>20</v>
      </c>
      <c r="H570" s="19">
        <f t="shared" si="2"/>
        <v>100</v>
      </c>
      <c r="I570" s="19">
        <f t="shared" si="4"/>
        <v>1131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8">
        <v>45249.0</v>
      </c>
      <c r="B571" s="19" t="str">
        <f t="shared" si="1"/>
        <v>Sunday</v>
      </c>
      <c r="C571" s="19" t="str">
        <f>IF(D571="","",VLOOKUP(D571,Menu!$A$2:$B$105,2,0))</f>
        <v>Pizza</v>
      </c>
      <c r="D571" s="19" t="s">
        <v>13</v>
      </c>
      <c r="E571" s="19" t="s">
        <v>2</v>
      </c>
      <c r="F571" s="19">
        <v>2.0</v>
      </c>
      <c r="G571" s="19">
        <f t="array" ref="G571">IF(OR(D571="",E571=""),"",IFERROR(CHOOSE(MATCH(E571,{"S","M","L","-"},0),VLOOKUP(D571,Menu!$A$2:$F$105,3,0),VLOOKUP(D571,Menu!$A$2:$F$105,4,0),VLOOKUP(D571,Menu!$A$2:$F$105,5,0),VLOOKUP(D571,Menu!$A$2:$F$105,6,0)),"N/A"))</f>
        <v>79</v>
      </c>
      <c r="H571" s="19">
        <f t="shared" si="2"/>
        <v>158</v>
      </c>
      <c r="I571" s="19">
        <f t="shared" si="4"/>
        <v>1131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8">
        <v>45249.0</v>
      </c>
      <c r="B572" s="19" t="str">
        <f t="shared" si="1"/>
        <v>Sunday</v>
      </c>
      <c r="C572" s="19" t="str">
        <f>IF(D572="","",VLOOKUP(D572,Menu!$A$2:$B$105,2,0))</f>
        <v>Burger</v>
      </c>
      <c r="D572" s="19" t="s">
        <v>27</v>
      </c>
      <c r="E572" s="19" t="s">
        <v>5</v>
      </c>
      <c r="F572" s="19">
        <v>1.0</v>
      </c>
      <c r="G572" s="19">
        <f t="array" ref="G572">IF(OR(D572="",E572=""),"",IFERROR(CHOOSE(MATCH(E572,{"S","M","L","-"},0),VLOOKUP(D572,Menu!$A$2:$F$105,3,0),VLOOKUP(D572,Menu!$A$2:$F$105,4,0),VLOOKUP(D572,Menu!$A$2:$F$105,5,0),VLOOKUP(D572,Menu!$A$2:$F$105,6,0)),"N/A"))</f>
        <v>39</v>
      </c>
      <c r="H572" s="19">
        <f t="shared" si="2"/>
        <v>39</v>
      </c>
      <c r="I572" s="19">
        <f t="shared" si="4"/>
        <v>1131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8">
        <v>45249.0</v>
      </c>
      <c r="B573" s="19" t="str">
        <f t="shared" si="1"/>
        <v>Sunday</v>
      </c>
      <c r="C573" s="19" t="str">
        <f>IF(D573="","",VLOOKUP(D573,Menu!$A$2:$B$105,2,0))</f>
        <v>Pizza</v>
      </c>
      <c r="D573" s="19" t="s">
        <v>15</v>
      </c>
      <c r="E573" s="19" t="s">
        <v>3</v>
      </c>
      <c r="F573" s="19">
        <v>1.0</v>
      </c>
      <c r="G573" s="19">
        <f t="array" ref="G573">IF(OR(D573="",E573=""),"",IFERROR(CHOOSE(MATCH(E573,{"S","M","L","-"},0),VLOOKUP(D573,Menu!$A$2:$F$105,3,0),VLOOKUP(D573,Menu!$A$2:$F$105,4,0),VLOOKUP(D573,Menu!$A$2:$F$105,5,0),VLOOKUP(D573,Menu!$A$2:$F$105,6,0)),"N/A"))</f>
        <v>149</v>
      </c>
      <c r="H573" s="19">
        <f t="shared" si="2"/>
        <v>149</v>
      </c>
      <c r="I573" s="19">
        <f t="shared" si="4"/>
        <v>1131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8">
        <v>45249.0</v>
      </c>
      <c r="B574" s="19" t="str">
        <f t="shared" si="1"/>
        <v>Sunday</v>
      </c>
      <c r="C574" s="19" t="str">
        <f>IF(D574="","",VLOOKUP(D574,Menu!$A$2:$B$105,2,0))</f>
        <v>Pizza</v>
      </c>
      <c r="D574" s="19" t="s">
        <v>8</v>
      </c>
      <c r="E574" s="19" t="s">
        <v>2</v>
      </c>
      <c r="F574" s="19">
        <v>1.0</v>
      </c>
      <c r="G574" s="19">
        <f t="array" ref="G574">IF(OR(D574="",E574=""),"",IFERROR(CHOOSE(MATCH(E574,{"S","M","L","-"},0),VLOOKUP(D574,Menu!$A$2:$F$105,3,0),VLOOKUP(D574,Menu!$A$2:$F$105,4,0),VLOOKUP(D574,Menu!$A$2:$F$105,5,0),VLOOKUP(D574,Menu!$A$2:$F$105,6,0)),"N/A"))</f>
        <v>59</v>
      </c>
      <c r="H574" s="19">
        <f t="shared" si="2"/>
        <v>59</v>
      </c>
      <c r="I574" s="19">
        <f t="shared" si="4"/>
        <v>1131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8">
        <v>45249.0</v>
      </c>
      <c r="B575" s="19" t="str">
        <f t="shared" si="1"/>
        <v>Sunday</v>
      </c>
      <c r="C575" s="19" t="str">
        <f>IF(D575="","",VLOOKUP(D575,Menu!$A$2:$B$105,2,0))</f>
        <v>Pizza</v>
      </c>
      <c r="D575" s="19" t="s">
        <v>15</v>
      </c>
      <c r="E575" s="19" t="s">
        <v>2</v>
      </c>
      <c r="F575" s="19">
        <v>1.0</v>
      </c>
      <c r="G575" s="19">
        <f t="array" ref="G575">IF(OR(D575="",E575=""),"",IFERROR(CHOOSE(MATCH(E575,{"S","M","L","-"},0),VLOOKUP(D575,Menu!$A$2:$F$105,3,0),VLOOKUP(D575,Menu!$A$2:$F$105,4,0),VLOOKUP(D575,Menu!$A$2:$F$105,5,0),VLOOKUP(D575,Menu!$A$2:$F$105,6,0)),"N/A"))</f>
        <v>99</v>
      </c>
      <c r="H575" s="19">
        <f t="shared" si="2"/>
        <v>99</v>
      </c>
      <c r="I575" s="19">
        <f t="shared" si="4"/>
        <v>1131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8">
        <v>45249.0</v>
      </c>
      <c r="B576" s="19" t="str">
        <f t="shared" si="1"/>
        <v>Sunday</v>
      </c>
      <c r="C576" s="19" t="str">
        <f>IF(D576="","",VLOOKUP(D576,Menu!$A$2:$B$105,2,0))</f>
        <v>Pizza</v>
      </c>
      <c r="D576" s="19" t="s">
        <v>19</v>
      </c>
      <c r="E576" s="19" t="s">
        <v>3</v>
      </c>
      <c r="F576" s="19">
        <v>1.0</v>
      </c>
      <c r="G576" s="19">
        <f t="array" ref="G576">IF(OR(D576="",E576=""),"",IFERROR(CHOOSE(MATCH(E576,{"S","M","L","-"},0),VLOOKUP(D576,Menu!$A$2:$F$105,3,0),VLOOKUP(D576,Menu!$A$2:$F$105,4,0),VLOOKUP(D576,Menu!$A$2:$F$105,5,0),VLOOKUP(D576,Menu!$A$2:$F$105,6,0)),"N/A"))</f>
        <v>189</v>
      </c>
      <c r="H576" s="19">
        <f t="shared" si="2"/>
        <v>189</v>
      </c>
      <c r="I576" s="19">
        <f t="shared" si="4"/>
        <v>1131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6">
        <v>45250.0</v>
      </c>
      <c r="B577" s="17" t="str">
        <f t="shared" si="1"/>
        <v>Monday</v>
      </c>
      <c r="C577" s="17" t="str">
        <f>IF(D577="","",VLOOKUP(D577,Menu!$A$2:$B$105,2,0))</f>
        <v>Pizza</v>
      </c>
      <c r="D577" s="17" t="s">
        <v>15</v>
      </c>
      <c r="E577" s="17" t="s">
        <v>3</v>
      </c>
      <c r="F577" s="17">
        <v>1.0</v>
      </c>
      <c r="G577" s="17">
        <f t="array" ref="G577">IF(OR(D577="",E577=""),"",IFERROR(CHOOSE(MATCH(E577,{"S","M","L","-"},0),VLOOKUP(D577,Menu!$A$2:$F$105,3,0),VLOOKUP(D577,Menu!$A$2:$F$105,4,0),VLOOKUP(D577,Menu!$A$2:$F$105,5,0),VLOOKUP(D577,Menu!$A$2:$F$105,6,0)),"N/A"))</f>
        <v>149</v>
      </c>
      <c r="H577" s="17">
        <f t="shared" si="2"/>
        <v>149</v>
      </c>
      <c r="I577" s="17">
        <f t="shared" si="4"/>
        <v>555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6">
        <v>45250.0</v>
      </c>
      <c r="B578" s="17" t="str">
        <f t="shared" si="1"/>
        <v>Monday</v>
      </c>
      <c r="C578" s="17" t="str">
        <f>IF(D578="","",VLOOKUP(D578,Menu!$A$2:$B$105,2,0))</f>
        <v>Dessert</v>
      </c>
      <c r="D578" s="17" t="s">
        <v>56</v>
      </c>
      <c r="E578" s="17" t="s">
        <v>5</v>
      </c>
      <c r="F578" s="17">
        <v>2.0</v>
      </c>
      <c r="G578" s="17">
        <f t="array" ref="G578">IF(OR(D578="",E578=""),"",IFERROR(CHOOSE(MATCH(E578,{"S","M","L","-"},0),VLOOKUP(D578,Menu!$A$2:$F$105,3,0),VLOOKUP(D578,Menu!$A$2:$F$105,4,0),VLOOKUP(D578,Menu!$A$2:$F$105,5,0),VLOOKUP(D578,Menu!$A$2:$F$105,6,0)),"N/A"))</f>
        <v>110</v>
      </c>
      <c r="H578" s="17">
        <f t="shared" si="2"/>
        <v>220</v>
      </c>
      <c r="I578" s="17">
        <f t="shared" si="4"/>
        <v>555</v>
      </c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6">
        <v>45250.0</v>
      </c>
      <c r="B579" s="17" t="str">
        <f t="shared" si="1"/>
        <v>Monday</v>
      </c>
      <c r="C579" s="17" t="str">
        <f>IF(D579="","",VLOOKUP(D579,Menu!$A$2:$B$105,2,0))</f>
        <v>Pizza</v>
      </c>
      <c r="D579" s="17" t="s">
        <v>6</v>
      </c>
      <c r="E579" s="17" t="s">
        <v>2</v>
      </c>
      <c r="F579" s="17">
        <v>1.0</v>
      </c>
      <c r="G579" s="17">
        <f t="array" ref="G579">IF(OR(D579="",E579=""),"",IFERROR(CHOOSE(MATCH(E579,{"S","M","L","-"},0),VLOOKUP(D579,Menu!$A$2:$F$105,3,0),VLOOKUP(D579,Menu!$A$2:$F$105,4,0),VLOOKUP(D579,Menu!$A$2:$F$105,5,0),VLOOKUP(D579,Menu!$A$2:$F$105,6,0)),"N/A"))</f>
        <v>49</v>
      </c>
      <c r="H579" s="17">
        <f t="shared" si="2"/>
        <v>49</v>
      </c>
      <c r="I579" s="17">
        <f t="shared" si="4"/>
        <v>555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6">
        <v>45250.0</v>
      </c>
      <c r="B580" s="17" t="str">
        <f t="shared" si="1"/>
        <v>Monday</v>
      </c>
      <c r="C580" s="17" t="str">
        <f>IF(D580="","",VLOOKUP(D580,Menu!$A$2:$B$105,2,0))</f>
        <v>Pizza</v>
      </c>
      <c r="D580" s="17" t="s">
        <v>10</v>
      </c>
      <c r="E580" s="17" t="s">
        <v>2</v>
      </c>
      <c r="F580" s="17">
        <v>1.0</v>
      </c>
      <c r="G580" s="17">
        <f t="array" ref="G580">IF(OR(D580="",E580=""),"",IFERROR(CHOOSE(MATCH(E580,{"S","M","L","-"},0),VLOOKUP(D580,Menu!$A$2:$F$105,3,0),VLOOKUP(D580,Menu!$A$2:$F$105,4,0),VLOOKUP(D580,Menu!$A$2:$F$105,5,0),VLOOKUP(D580,Menu!$A$2:$F$105,6,0)),"N/A"))</f>
        <v>59</v>
      </c>
      <c r="H580" s="17">
        <f t="shared" si="2"/>
        <v>59</v>
      </c>
      <c r="I580" s="17">
        <f t="shared" si="4"/>
        <v>555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6">
        <v>45250.0</v>
      </c>
      <c r="B581" s="17" t="str">
        <f t="shared" si="1"/>
        <v>Monday</v>
      </c>
      <c r="C581" s="17" t="str">
        <f>IF(D581="","",VLOOKUP(D581,Menu!$A$2:$B$105,2,0))</f>
        <v>Burger</v>
      </c>
      <c r="D581" s="17" t="s">
        <v>27</v>
      </c>
      <c r="E581" s="17" t="s">
        <v>5</v>
      </c>
      <c r="F581" s="17">
        <v>2.0</v>
      </c>
      <c r="G581" s="17">
        <f t="array" ref="G581">IF(OR(D581="",E581=""),"",IFERROR(CHOOSE(MATCH(E581,{"S","M","L","-"},0),VLOOKUP(D581,Menu!$A$2:$F$105,3,0),VLOOKUP(D581,Menu!$A$2:$F$105,4,0),VLOOKUP(D581,Menu!$A$2:$F$105,5,0),VLOOKUP(D581,Menu!$A$2:$F$105,6,0)),"N/A"))</f>
        <v>39</v>
      </c>
      <c r="H581" s="17">
        <f t="shared" si="2"/>
        <v>78</v>
      </c>
      <c r="I581" s="17">
        <f t="shared" si="4"/>
        <v>555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8">
        <v>45251.0</v>
      </c>
      <c r="B582" s="19" t="str">
        <f t="shared" si="1"/>
        <v>Tuesday</v>
      </c>
      <c r="C582" s="19" t="str">
        <f>IF(D582="","",VLOOKUP(D582,Menu!$A$2:$B$105,2,0))</f>
        <v>Pizza</v>
      </c>
      <c r="D582" s="19" t="s">
        <v>11</v>
      </c>
      <c r="E582" s="19" t="s">
        <v>2</v>
      </c>
      <c r="F582" s="19">
        <v>1.0</v>
      </c>
      <c r="G582" s="19">
        <f t="array" ref="G582">IF(OR(D582="",E582=""),"",IFERROR(CHOOSE(MATCH(E582,{"S","M","L","-"},0),VLOOKUP(D582,Menu!$A$2:$F$105,3,0),VLOOKUP(D582,Menu!$A$2:$F$105,4,0),VLOOKUP(D582,Menu!$A$2:$F$105,5,0),VLOOKUP(D582,Menu!$A$2:$F$105,6,0)),"N/A"))</f>
        <v>69</v>
      </c>
      <c r="H582" s="19">
        <f t="shared" si="2"/>
        <v>69</v>
      </c>
      <c r="I582" s="19">
        <f t="shared" si="4"/>
        <v>575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8">
        <v>45251.0</v>
      </c>
      <c r="B583" s="19" t="str">
        <f t="shared" si="1"/>
        <v>Tuesday</v>
      </c>
      <c r="C583" s="19" t="str">
        <f>IF(D583="","",VLOOKUP(D583,Menu!$A$2:$B$105,2,0))</f>
        <v>Pizza</v>
      </c>
      <c r="D583" s="19" t="s">
        <v>14</v>
      </c>
      <c r="E583" s="19" t="s">
        <v>2</v>
      </c>
      <c r="F583" s="19">
        <v>1.0</v>
      </c>
      <c r="G583" s="19">
        <f t="array" ref="G583">IF(OR(D583="",E583=""),"",IFERROR(CHOOSE(MATCH(E583,{"S","M","L","-"},0),VLOOKUP(D583,Menu!$A$2:$F$105,3,0),VLOOKUP(D583,Menu!$A$2:$F$105,4,0),VLOOKUP(D583,Menu!$A$2:$F$105,5,0),VLOOKUP(D583,Menu!$A$2:$F$105,6,0)),"N/A"))</f>
        <v>79</v>
      </c>
      <c r="H583" s="19">
        <f t="shared" si="2"/>
        <v>79</v>
      </c>
      <c r="I583" s="19">
        <f t="shared" si="4"/>
        <v>575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8">
        <v>45251.0</v>
      </c>
      <c r="B584" s="19" t="str">
        <f t="shared" si="1"/>
        <v>Tuesday</v>
      </c>
      <c r="C584" s="19" t="str">
        <f>IF(D584="","",VLOOKUP(D584,Menu!$A$2:$B$105,2,0))</f>
        <v>Pizza</v>
      </c>
      <c r="D584" s="19" t="s">
        <v>14</v>
      </c>
      <c r="E584" s="19" t="s">
        <v>3</v>
      </c>
      <c r="F584" s="19">
        <v>1.0</v>
      </c>
      <c r="G584" s="19">
        <f t="array" ref="G584">IF(OR(D584="",E584=""),"",IFERROR(CHOOSE(MATCH(E584,{"S","M","L","-"},0),VLOOKUP(D584,Menu!$A$2:$F$105,3,0),VLOOKUP(D584,Menu!$A$2:$F$105,4,0),VLOOKUP(D584,Menu!$A$2:$F$105,5,0),VLOOKUP(D584,Menu!$A$2:$F$105,6,0)),"N/A"))</f>
        <v>129</v>
      </c>
      <c r="H584" s="19">
        <f t="shared" si="2"/>
        <v>129</v>
      </c>
      <c r="I584" s="19">
        <f t="shared" si="4"/>
        <v>575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8">
        <v>45251.0</v>
      </c>
      <c r="B585" s="19" t="str">
        <f t="shared" si="1"/>
        <v>Tuesday</v>
      </c>
      <c r="C585" s="19" t="str">
        <f>IF(D585="","",VLOOKUP(D585,Menu!$A$2:$B$105,2,0))</f>
        <v>Pizza</v>
      </c>
      <c r="D585" s="19" t="s">
        <v>16</v>
      </c>
      <c r="E585" s="19" t="s">
        <v>3</v>
      </c>
      <c r="F585" s="19">
        <v>1.0</v>
      </c>
      <c r="G585" s="19">
        <f t="array" ref="G585">IF(OR(D585="",E585=""),"",IFERROR(CHOOSE(MATCH(E585,{"S","M","L","-"},0),VLOOKUP(D585,Menu!$A$2:$F$105,3,0),VLOOKUP(D585,Menu!$A$2:$F$105,4,0),VLOOKUP(D585,Menu!$A$2:$F$105,5,0),VLOOKUP(D585,Menu!$A$2:$F$105,6,0)),"N/A"))</f>
        <v>199</v>
      </c>
      <c r="H585" s="19">
        <f t="shared" si="2"/>
        <v>199</v>
      </c>
      <c r="I585" s="19">
        <f t="shared" si="4"/>
        <v>575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8">
        <v>45251.0</v>
      </c>
      <c r="B586" s="19" t="str">
        <f t="shared" si="1"/>
        <v>Tuesday</v>
      </c>
      <c r="C586" s="19" t="str">
        <f>IF(D586="","",VLOOKUP(D586,Menu!$A$2:$B$105,2,0))</f>
        <v>Burger</v>
      </c>
      <c r="D586" s="19" t="s">
        <v>30</v>
      </c>
      <c r="E586" s="19" t="s">
        <v>5</v>
      </c>
      <c r="F586" s="19">
        <v>1.0</v>
      </c>
      <c r="G586" s="19">
        <f t="array" ref="G586">IF(OR(D586="",E586=""),"",IFERROR(CHOOSE(MATCH(E586,{"S","M","L","-"},0),VLOOKUP(D586,Menu!$A$2:$F$105,3,0),VLOOKUP(D586,Menu!$A$2:$F$105,4,0),VLOOKUP(D586,Menu!$A$2:$F$105,5,0),VLOOKUP(D586,Menu!$A$2:$F$105,6,0)),"N/A"))</f>
        <v>99</v>
      </c>
      <c r="H586" s="19">
        <f t="shared" si="2"/>
        <v>99</v>
      </c>
      <c r="I586" s="19">
        <f t="shared" si="4"/>
        <v>575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6">
        <v>45252.0</v>
      </c>
      <c r="B587" s="17" t="str">
        <f t="shared" si="1"/>
        <v>Wednesday</v>
      </c>
      <c r="C587" s="17" t="str">
        <f>IF(D587="","",VLOOKUP(D587,Menu!$A$2:$B$105,2,0))</f>
        <v>Pizza</v>
      </c>
      <c r="D587" s="17" t="s">
        <v>10</v>
      </c>
      <c r="E587" s="17" t="s">
        <v>2</v>
      </c>
      <c r="F587" s="17">
        <v>2.0</v>
      </c>
      <c r="G587" s="17">
        <f t="array" ref="G587">IF(OR(D587="",E587=""),"",IFERROR(CHOOSE(MATCH(E587,{"S","M","L","-"},0),VLOOKUP(D587,Menu!$A$2:$F$105,3,0),VLOOKUP(D587,Menu!$A$2:$F$105,4,0),VLOOKUP(D587,Menu!$A$2:$F$105,5,0),VLOOKUP(D587,Menu!$A$2:$F$105,6,0)),"N/A"))</f>
        <v>59</v>
      </c>
      <c r="H587" s="17">
        <f t="shared" si="2"/>
        <v>118</v>
      </c>
      <c r="I587" s="17">
        <f t="shared" si="4"/>
        <v>625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6">
        <v>45252.0</v>
      </c>
      <c r="B588" s="17" t="str">
        <f t="shared" si="1"/>
        <v>Wednesday</v>
      </c>
      <c r="C588" s="17" t="str">
        <f>IF(D588="","",VLOOKUP(D588,Menu!$A$2:$B$105,2,0))</f>
        <v>Dessert</v>
      </c>
      <c r="D588" s="17" t="s">
        <v>56</v>
      </c>
      <c r="E588" s="17" t="s">
        <v>5</v>
      </c>
      <c r="F588" s="17">
        <v>1.0</v>
      </c>
      <c r="G588" s="17">
        <f t="array" ref="G588">IF(OR(D588="",E588=""),"",IFERROR(CHOOSE(MATCH(E588,{"S","M","L","-"},0),VLOOKUP(D588,Menu!$A$2:$F$105,3,0),VLOOKUP(D588,Menu!$A$2:$F$105,4,0),VLOOKUP(D588,Menu!$A$2:$F$105,5,0),VLOOKUP(D588,Menu!$A$2:$F$105,6,0)),"N/A"))</f>
        <v>110</v>
      </c>
      <c r="H588" s="17">
        <f t="shared" si="2"/>
        <v>110</v>
      </c>
      <c r="I588" s="17">
        <f t="shared" si="4"/>
        <v>625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6">
        <v>45252.0</v>
      </c>
      <c r="B589" s="17" t="str">
        <f t="shared" si="1"/>
        <v>Wednesday</v>
      </c>
      <c r="C589" s="17" t="str">
        <f>IF(D589="","",VLOOKUP(D589,Menu!$A$2:$B$105,2,0))</f>
        <v>Pizza</v>
      </c>
      <c r="D589" s="17" t="s">
        <v>6</v>
      </c>
      <c r="E589" s="17" t="s">
        <v>2</v>
      </c>
      <c r="F589" s="17">
        <v>1.0</v>
      </c>
      <c r="G589" s="17">
        <f t="array" ref="G589">IF(OR(D589="",E589=""),"",IFERROR(CHOOSE(MATCH(E589,{"S","M","L","-"},0),VLOOKUP(D589,Menu!$A$2:$F$105,3,0),VLOOKUP(D589,Menu!$A$2:$F$105,4,0),VLOOKUP(D589,Menu!$A$2:$F$105,5,0),VLOOKUP(D589,Menu!$A$2:$F$105,6,0)),"N/A"))</f>
        <v>49</v>
      </c>
      <c r="H589" s="17">
        <f t="shared" si="2"/>
        <v>49</v>
      </c>
      <c r="I589" s="17">
        <f t="shared" si="4"/>
        <v>625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6">
        <v>45252.0</v>
      </c>
      <c r="B590" s="17" t="str">
        <f t="shared" si="1"/>
        <v>Wednesday</v>
      </c>
      <c r="C590" s="17" t="str">
        <f>IF(D590="","",VLOOKUP(D590,Menu!$A$2:$B$105,2,0))</f>
        <v>Pizza</v>
      </c>
      <c r="D590" s="17" t="s">
        <v>15</v>
      </c>
      <c r="E590" s="17" t="s">
        <v>3</v>
      </c>
      <c r="F590" s="17">
        <v>1.0</v>
      </c>
      <c r="G590" s="17">
        <f t="array" ref="G590">IF(OR(D590="",E590=""),"",IFERROR(CHOOSE(MATCH(E590,{"S","M","L","-"},0),VLOOKUP(D590,Menu!$A$2:$F$105,3,0),VLOOKUP(D590,Menu!$A$2:$F$105,4,0),VLOOKUP(D590,Menu!$A$2:$F$105,5,0),VLOOKUP(D590,Menu!$A$2:$F$105,6,0)),"N/A"))</f>
        <v>149</v>
      </c>
      <c r="H590" s="17">
        <f t="shared" si="2"/>
        <v>149</v>
      </c>
      <c r="I590" s="17">
        <f t="shared" si="4"/>
        <v>625</v>
      </c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6">
        <v>45252.0</v>
      </c>
      <c r="B591" s="17" t="str">
        <f t="shared" si="1"/>
        <v>Wednesday</v>
      </c>
      <c r="C591" s="17" t="str">
        <f>IF(D591="","",VLOOKUP(D591,Menu!$A$2:$B$105,2,0))</f>
        <v>Pizza</v>
      </c>
      <c r="D591" s="17" t="s">
        <v>10</v>
      </c>
      <c r="E591" s="17" t="s">
        <v>4</v>
      </c>
      <c r="F591" s="17">
        <v>1.0</v>
      </c>
      <c r="G591" s="17">
        <f t="array" ref="G591">IF(OR(D591="",E591=""),"",IFERROR(CHOOSE(MATCH(E591,{"S","M","L","-"},0),VLOOKUP(D591,Menu!$A$2:$F$105,3,0),VLOOKUP(D591,Menu!$A$2:$F$105,4,0),VLOOKUP(D591,Menu!$A$2:$F$105,5,0),VLOOKUP(D591,Menu!$A$2:$F$105,6,0)),"N/A"))</f>
        <v>199</v>
      </c>
      <c r="H591" s="17">
        <f t="shared" si="2"/>
        <v>199</v>
      </c>
      <c r="I591" s="17">
        <f t="shared" si="4"/>
        <v>625</v>
      </c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8">
        <v>45253.0</v>
      </c>
      <c r="B592" s="19" t="str">
        <f t="shared" si="1"/>
        <v>Thursday</v>
      </c>
      <c r="C592" s="19" t="str">
        <f>IF(D592="","",VLOOKUP(D592,Menu!$A$2:$B$105,2,0))</f>
        <v>Pizza</v>
      </c>
      <c r="D592" s="19" t="s">
        <v>26</v>
      </c>
      <c r="E592" s="19" t="s">
        <v>5</v>
      </c>
      <c r="F592" s="19">
        <v>2.0</v>
      </c>
      <c r="G592" s="19">
        <f t="array" ref="G592">IF(OR(D592="",E592=""),"",IFERROR(CHOOSE(MATCH(E592,{"S","M","L","-"},0),VLOOKUP(D592,Menu!$A$2:$F$105,3,0),VLOOKUP(D592,Menu!$A$2:$F$105,4,0),VLOOKUP(D592,Menu!$A$2:$F$105,5,0),VLOOKUP(D592,Menu!$A$2:$F$105,6,0)),"N/A"))</f>
        <v>99</v>
      </c>
      <c r="H592" s="19">
        <f t="shared" si="2"/>
        <v>198</v>
      </c>
      <c r="I592" s="19">
        <f t="shared" si="4"/>
        <v>693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8">
        <v>45253.0</v>
      </c>
      <c r="B593" s="19" t="str">
        <f t="shared" si="1"/>
        <v>Thursday</v>
      </c>
      <c r="C593" s="19" t="str">
        <f>IF(D593="","",VLOOKUP(D593,Menu!$A$2:$B$105,2,0))</f>
        <v>Burger</v>
      </c>
      <c r="D593" s="19" t="s">
        <v>27</v>
      </c>
      <c r="E593" s="19" t="s">
        <v>5</v>
      </c>
      <c r="F593" s="19">
        <v>2.0</v>
      </c>
      <c r="G593" s="19">
        <f t="array" ref="G593">IF(OR(D593="",E593=""),"",IFERROR(CHOOSE(MATCH(E593,{"S","M","L","-"},0),VLOOKUP(D593,Menu!$A$2:$F$105,3,0),VLOOKUP(D593,Menu!$A$2:$F$105,4,0),VLOOKUP(D593,Menu!$A$2:$F$105,5,0),VLOOKUP(D593,Menu!$A$2:$F$105,6,0)),"N/A"))</f>
        <v>39</v>
      </c>
      <c r="H593" s="19">
        <f t="shared" si="2"/>
        <v>78</v>
      </c>
      <c r="I593" s="19">
        <f t="shared" si="4"/>
        <v>693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8">
        <v>45253.0</v>
      </c>
      <c r="B594" s="19" t="str">
        <f t="shared" si="1"/>
        <v>Thursday</v>
      </c>
      <c r="C594" s="19" t="str">
        <f>IF(D594="","",VLOOKUP(D594,Menu!$A$2:$B$105,2,0))</f>
        <v>Pizza</v>
      </c>
      <c r="D594" s="19" t="s">
        <v>16</v>
      </c>
      <c r="E594" s="19" t="s">
        <v>2</v>
      </c>
      <c r="F594" s="19">
        <v>1.0</v>
      </c>
      <c r="G594" s="19">
        <f t="array" ref="G594">IF(OR(D594="",E594=""),"",IFERROR(CHOOSE(MATCH(E594,{"S","M","L","-"},0),VLOOKUP(D594,Menu!$A$2:$F$105,3,0),VLOOKUP(D594,Menu!$A$2:$F$105,4,0),VLOOKUP(D594,Menu!$A$2:$F$105,5,0),VLOOKUP(D594,Menu!$A$2:$F$105,6,0)),"N/A"))</f>
        <v>109</v>
      </c>
      <c r="H594" s="19">
        <f t="shared" si="2"/>
        <v>109</v>
      </c>
      <c r="I594" s="19">
        <f t="shared" si="4"/>
        <v>693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8">
        <v>45253.0</v>
      </c>
      <c r="B595" s="19" t="str">
        <f t="shared" si="1"/>
        <v>Thursday</v>
      </c>
      <c r="C595" s="19" t="str">
        <f>IF(D595="","",VLOOKUP(D595,Menu!$A$2:$B$105,2,0))</f>
        <v>Pizza</v>
      </c>
      <c r="D595" s="19" t="s">
        <v>17</v>
      </c>
      <c r="E595" s="19" t="s">
        <v>2</v>
      </c>
      <c r="F595" s="19">
        <v>1.0</v>
      </c>
      <c r="G595" s="19">
        <f t="array" ref="G595">IF(OR(D595="",E595=""),"",IFERROR(CHOOSE(MATCH(E595,{"S","M","L","-"},0),VLOOKUP(D595,Menu!$A$2:$F$105,3,0),VLOOKUP(D595,Menu!$A$2:$F$105,4,0),VLOOKUP(D595,Menu!$A$2:$F$105,5,0),VLOOKUP(D595,Menu!$A$2:$F$105,6,0)),"N/A"))</f>
        <v>109</v>
      </c>
      <c r="H595" s="19">
        <f t="shared" si="2"/>
        <v>109</v>
      </c>
      <c r="I595" s="19">
        <f t="shared" si="4"/>
        <v>693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8">
        <v>45253.0</v>
      </c>
      <c r="B596" s="19" t="str">
        <f t="shared" si="1"/>
        <v>Thursday</v>
      </c>
      <c r="C596" s="19" t="str">
        <f>IF(D596="","",VLOOKUP(D596,Menu!$A$2:$B$105,2,0))</f>
        <v>Pizza</v>
      </c>
      <c r="D596" s="19" t="s">
        <v>16</v>
      </c>
      <c r="E596" s="19" t="s">
        <v>3</v>
      </c>
      <c r="F596" s="19">
        <v>1.0</v>
      </c>
      <c r="G596" s="19">
        <f t="array" ref="G596">IF(OR(D596="",E596=""),"",IFERROR(CHOOSE(MATCH(E596,{"S","M","L","-"},0),VLOOKUP(D596,Menu!$A$2:$F$105,3,0),VLOOKUP(D596,Menu!$A$2:$F$105,4,0),VLOOKUP(D596,Menu!$A$2:$F$105,5,0),VLOOKUP(D596,Menu!$A$2:$F$105,6,0)),"N/A"))</f>
        <v>199</v>
      </c>
      <c r="H596" s="19">
        <f t="shared" si="2"/>
        <v>199</v>
      </c>
      <c r="I596" s="19">
        <f t="shared" si="4"/>
        <v>693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6">
        <v>45254.0</v>
      </c>
      <c r="B597" s="17" t="str">
        <f t="shared" si="1"/>
        <v>Friday</v>
      </c>
      <c r="C597" s="17" t="str">
        <f>IF(D597="","",VLOOKUP(D597,Menu!$A$2:$B$105,2,0))</f>
        <v>Pizza</v>
      </c>
      <c r="D597" s="17" t="s">
        <v>11</v>
      </c>
      <c r="E597" s="17" t="s">
        <v>3</v>
      </c>
      <c r="F597" s="17">
        <v>1.0</v>
      </c>
      <c r="G597" s="17">
        <f t="array" ref="G597">IF(OR(D597="",E597=""),"",IFERROR(CHOOSE(MATCH(E597,{"S","M","L","-"},0),VLOOKUP(D597,Menu!$A$2:$F$105,3,0),VLOOKUP(D597,Menu!$A$2:$F$105,4,0),VLOOKUP(D597,Menu!$A$2:$F$105,5,0),VLOOKUP(D597,Menu!$A$2:$F$105,6,0)),"N/A"))</f>
        <v>109</v>
      </c>
      <c r="H597" s="17">
        <f t="shared" si="2"/>
        <v>109</v>
      </c>
      <c r="I597" s="17">
        <f t="shared" si="4"/>
        <v>1175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6">
        <v>45254.0</v>
      </c>
      <c r="B598" s="17" t="str">
        <f t="shared" si="1"/>
        <v>Friday</v>
      </c>
      <c r="C598" s="17" t="str">
        <f>IF(D598="","",VLOOKUP(D598,Menu!$A$2:$B$105,2,0))</f>
        <v>Beverage</v>
      </c>
      <c r="D598" s="17" t="s">
        <v>63</v>
      </c>
      <c r="E598" s="17" t="s">
        <v>5</v>
      </c>
      <c r="F598" s="17">
        <v>2.0</v>
      </c>
      <c r="G598" s="17">
        <f t="array" ref="G598">IF(OR(D598="",E598=""),"",IFERROR(CHOOSE(MATCH(E598,{"S","M","L","-"},0),VLOOKUP(D598,Menu!$A$2:$F$105,3,0),VLOOKUP(D598,Menu!$A$2:$F$105,4,0),VLOOKUP(D598,Menu!$A$2:$F$105,5,0),VLOOKUP(D598,Menu!$A$2:$F$105,6,0)),"N/A"))</f>
        <v>20</v>
      </c>
      <c r="H598" s="17">
        <f t="shared" si="2"/>
        <v>40</v>
      </c>
      <c r="I598" s="17">
        <f t="shared" si="4"/>
        <v>1175</v>
      </c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6">
        <v>45254.0</v>
      </c>
      <c r="B599" s="17" t="str">
        <f t="shared" si="1"/>
        <v>Friday</v>
      </c>
      <c r="C599" s="17" t="str">
        <f>IF(D599="","",VLOOKUP(D599,Menu!$A$2:$B$105,2,0))</f>
        <v>Pizza</v>
      </c>
      <c r="D599" s="17" t="s">
        <v>16</v>
      </c>
      <c r="E599" s="17" t="s">
        <v>3</v>
      </c>
      <c r="F599" s="17">
        <v>1.0</v>
      </c>
      <c r="G599" s="17">
        <f t="array" ref="G599">IF(OR(D599="",E599=""),"",IFERROR(CHOOSE(MATCH(E599,{"S","M","L","-"},0),VLOOKUP(D599,Menu!$A$2:$F$105,3,0),VLOOKUP(D599,Menu!$A$2:$F$105,4,0),VLOOKUP(D599,Menu!$A$2:$F$105,5,0),VLOOKUP(D599,Menu!$A$2:$F$105,6,0)),"N/A"))</f>
        <v>199</v>
      </c>
      <c r="H599" s="17">
        <f t="shared" si="2"/>
        <v>199</v>
      </c>
      <c r="I599" s="17">
        <f t="shared" si="4"/>
        <v>1175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6">
        <v>45254.0</v>
      </c>
      <c r="B600" s="17" t="str">
        <f t="shared" si="1"/>
        <v>Friday</v>
      </c>
      <c r="C600" s="17" t="str">
        <f>IF(D600="","",VLOOKUP(D600,Menu!$A$2:$B$105,2,0))</f>
        <v>Shake</v>
      </c>
      <c r="D600" s="17" t="s">
        <v>45</v>
      </c>
      <c r="E600" s="17" t="s">
        <v>5</v>
      </c>
      <c r="F600" s="17">
        <v>1.0</v>
      </c>
      <c r="G600" s="17">
        <f t="array" ref="G600">IF(OR(D600="",E600=""),"",IFERROR(CHOOSE(MATCH(E600,{"S","M","L","-"},0),VLOOKUP(D600,Menu!$A$2:$F$105,3,0),VLOOKUP(D600,Menu!$A$2:$F$105,4,0),VLOOKUP(D600,Menu!$A$2:$F$105,5,0),VLOOKUP(D600,Menu!$A$2:$F$105,6,0)),"N/A"))</f>
        <v>50</v>
      </c>
      <c r="H600" s="17">
        <f t="shared" si="2"/>
        <v>50</v>
      </c>
      <c r="I600" s="17">
        <f t="shared" si="4"/>
        <v>1175</v>
      </c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6">
        <v>45254.0</v>
      </c>
      <c r="B601" s="17" t="str">
        <f t="shared" si="1"/>
        <v>Friday</v>
      </c>
      <c r="C601" s="17" t="str">
        <f>IF(D601="","",VLOOKUP(D601,Menu!$A$2:$B$105,2,0))</f>
        <v>Burger</v>
      </c>
      <c r="D601" s="17" t="s">
        <v>27</v>
      </c>
      <c r="E601" s="17" t="s">
        <v>5</v>
      </c>
      <c r="F601" s="17">
        <v>1.0</v>
      </c>
      <c r="G601" s="17">
        <f t="array" ref="G601">IF(OR(D601="",E601=""),"",IFERROR(CHOOSE(MATCH(E601,{"S","M","L","-"},0),VLOOKUP(D601,Menu!$A$2:$F$105,3,0),VLOOKUP(D601,Menu!$A$2:$F$105,4,0),VLOOKUP(D601,Menu!$A$2:$F$105,5,0),VLOOKUP(D601,Menu!$A$2:$F$105,6,0)),"N/A"))</f>
        <v>39</v>
      </c>
      <c r="H601" s="17">
        <f t="shared" si="2"/>
        <v>39</v>
      </c>
      <c r="I601" s="17">
        <f t="shared" si="4"/>
        <v>1175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6">
        <v>45254.0</v>
      </c>
      <c r="B602" s="17" t="str">
        <f t="shared" si="1"/>
        <v>Friday</v>
      </c>
      <c r="C602" s="17" t="str">
        <f>IF(D602="","",VLOOKUP(D602,Menu!$A$2:$B$105,2,0))</f>
        <v>Pizza</v>
      </c>
      <c r="D602" s="17" t="s">
        <v>15</v>
      </c>
      <c r="E602" s="17" t="s">
        <v>2</v>
      </c>
      <c r="F602" s="17">
        <v>2.0</v>
      </c>
      <c r="G602" s="17">
        <f t="array" ref="G602">IF(OR(D602="",E602=""),"",IFERROR(CHOOSE(MATCH(E602,{"S","M","L","-"},0),VLOOKUP(D602,Menu!$A$2:$F$105,3,0),VLOOKUP(D602,Menu!$A$2:$F$105,4,0),VLOOKUP(D602,Menu!$A$2:$F$105,5,0),VLOOKUP(D602,Menu!$A$2:$F$105,6,0)),"N/A"))</f>
        <v>99</v>
      </c>
      <c r="H602" s="17">
        <f t="shared" si="2"/>
        <v>198</v>
      </c>
      <c r="I602" s="17">
        <f t="shared" si="4"/>
        <v>1175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6">
        <v>45254.0</v>
      </c>
      <c r="B603" s="17" t="str">
        <f t="shared" si="1"/>
        <v>Friday</v>
      </c>
      <c r="C603" s="17" t="str">
        <f>IF(D603="","",VLOOKUP(D603,Menu!$A$2:$B$105,2,0))</f>
        <v>Pizza</v>
      </c>
      <c r="D603" s="17" t="s">
        <v>23</v>
      </c>
      <c r="E603" s="17" t="s">
        <v>3</v>
      </c>
      <c r="F603" s="17">
        <v>2.0</v>
      </c>
      <c r="G603" s="17">
        <f t="array" ref="G603">IF(OR(D603="",E603=""),"",IFERROR(CHOOSE(MATCH(E603,{"S","M","L","-"},0),VLOOKUP(D603,Menu!$A$2:$F$105,3,0),VLOOKUP(D603,Menu!$A$2:$F$105,4,0),VLOOKUP(D603,Menu!$A$2:$F$105,5,0),VLOOKUP(D603,Menu!$A$2:$F$105,6,0)),"N/A"))</f>
        <v>230</v>
      </c>
      <c r="H603" s="17">
        <f t="shared" si="2"/>
        <v>460</v>
      </c>
      <c r="I603" s="17">
        <f t="shared" si="4"/>
        <v>1175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6">
        <v>45254.0</v>
      </c>
      <c r="B604" s="17" t="str">
        <f t="shared" si="1"/>
        <v>Friday</v>
      </c>
      <c r="C604" s="17" t="str">
        <f>IF(D604="","",VLOOKUP(D604,Menu!$A$2:$B$105,2,0))</f>
        <v>Add-on</v>
      </c>
      <c r="D604" s="17" t="s">
        <v>67</v>
      </c>
      <c r="E604" s="17" t="s">
        <v>5</v>
      </c>
      <c r="F604" s="17">
        <v>2.0</v>
      </c>
      <c r="G604" s="17">
        <f t="array" ref="G604">IF(OR(D604="",E604=""),"",IFERROR(CHOOSE(MATCH(E604,{"S","M","L","-"},0),VLOOKUP(D604,Menu!$A$2:$F$105,3,0),VLOOKUP(D604,Menu!$A$2:$F$105,4,0),VLOOKUP(D604,Menu!$A$2:$F$105,5,0),VLOOKUP(D604,Menu!$A$2:$F$105,6,0)),"N/A"))</f>
        <v>40</v>
      </c>
      <c r="H604" s="17">
        <f t="shared" si="2"/>
        <v>80</v>
      </c>
      <c r="I604" s="17">
        <f t="shared" si="4"/>
        <v>1175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8">
        <v>45255.0</v>
      </c>
      <c r="B605" s="19" t="str">
        <f t="shared" si="1"/>
        <v>Saturday</v>
      </c>
      <c r="C605" s="19" t="str">
        <f>IF(D605="","",VLOOKUP(D605,Menu!$A$2:$B$105,2,0))</f>
        <v>Pizza</v>
      </c>
      <c r="D605" s="19" t="s">
        <v>8</v>
      </c>
      <c r="E605" s="19" t="s">
        <v>2</v>
      </c>
      <c r="F605" s="19">
        <v>3.0</v>
      </c>
      <c r="G605" s="19">
        <f t="array" ref="G605">IF(OR(D605="",E605=""),"",IFERROR(CHOOSE(MATCH(E605,{"S","M","L","-"},0),VLOOKUP(D605,Menu!$A$2:$F$105,3,0),VLOOKUP(D605,Menu!$A$2:$F$105,4,0),VLOOKUP(D605,Menu!$A$2:$F$105,5,0),VLOOKUP(D605,Menu!$A$2:$F$105,6,0)),"N/A"))</f>
        <v>59</v>
      </c>
      <c r="H605" s="19">
        <f t="shared" si="2"/>
        <v>177</v>
      </c>
      <c r="I605" s="19">
        <f t="shared" si="4"/>
        <v>1043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8">
        <v>45255.0</v>
      </c>
      <c r="B606" s="19" t="str">
        <f t="shared" si="1"/>
        <v>Saturday</v>
      </c>
      <c r="C606" s="19" t="str">
        <f>IF(D606="","",VLOOKUP(D606,Menu!$A$2:$B$105,2,0))</f>
        <v>Pizza</v>
      </c>
      <c r="D606" s="19" t="s">
        <v>19</v>
      </c>
      <c r="E606" s="19" t="s">
        <v>4</v>
      </c>
      <c r="F606" s="19">
        <v>1.0</v>
      </c>
      <c r="G606" s="19">
        <f t="array" ref="G606">IF(OR(D606="",E606=""),"",IFERROR(CHOOSE(MATCH(E606,{"S","M","L","-"},0),VLOOKUP(D606,Menu!$A$2:$F$105,3,0),VLOOKUP(D606,Menu!$A$2:$F$105,4,0),VLOOKUP(D606,Menu!$A$2:$F$105,5,0),VLOOKUP(D606,Menu!$A$2:$F$105,6,0)),"N/A"))</f>
        <v>289</v>
      </c>
      <c r="H606" s="19">
        <f t="shared" si="2"/>
        <v>289</v>
      </c>
      <c r="I606" s="19">
        <f t="shared" si="4"/>
        <v>1043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8">
        <v>45255.0</v>
      </c>
      <c r="B607" s="19" t="str">
        <f t="shared" si="1"/>
        <v>Saturday</v>
      </c>
      <c r="C607" s="19" t="str">
        <f>IF(D607="","",VLOOKUP(D607,Menu!$A$2:$B$105,2,0))</f>
        <v>Pizza</v>
      </c>
      <c r="D607" s="19" t="s">
        <v>13</v>
      </c>
      <c r="E607" s="19" t="s">
        <v>3</v>
      </c>
      <c r="F607" s="19">
        <v>1.0</v>
      </c>
      <c r="G607" s="19">
        <f t="array" ref="G607">IF(OR(D607="",E607=""),"",IFERROR(CHOOSE(MATCH(E607,{"S","M","L","-"},0),VLOOKUP(D607,Menu!$A$2:$F$105,3,0),VLOOKUP(D607,Menu!$A$2:$F$105,4,0),VLOOKUP(D607,Menu!$A$2:$F$105,5,0),VLOOKUP(D607,Menu!$A$2:$F$105,6,0)),"N/A"))</f>
        <v>129</v>
      </c>
      <c r="H607" s="19">
        <f t="shared" si="2"/>
        <v>129</v>
      </c>
      <c r="I607" s="19">
        <f t="shared" si="4"/>
        <v>1043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8">
        <v>45255.0</v>
      </c>
      <c r="B608" s="19" t="str">
        <f t="shared" si="1"/>
        <v>Saturday</v>
      </c>
      <c r="C608" s="19" t="str">
        <f>IF(D608="","",VLOOKUP(D608,Menu!$A$2:$B$105,2,0))</f>
        <v>Pizza</v>
      </c>
      <c r="D608" s="19" t="s">
        <v>16</v>
      </c>
      <c r="E608" s="19" t="s">
        <v>3</v>
      </c>
      <c r="F608" s="19">
        <v>1.0</v>
      </c>
      <c r="G608" s="19">
        <f t="array" ref="G608">IF(OR(D608="",E608=""),"",IFERROR(CHOOSE(MATCH(E608,{"S","M","L","-"},0),VLOOKUP(D608,Menu!$A$2:$F$105,3,0),VLOOKUP(D608,Menu!$A$2:$F$105,4,0),VLOOKUP(D608,Menu!$A$2:$F$105,5,0),VLOOKUP(D608,Menu!$A$2:$F$105,6,0)),"N/A"))</f>
        <v>199</v>
      </c>
      <c r="H608" s="19">
        <f t="shared" si="2"/>
        <v>199</v>
      </c>
      <c r="I608" s="19">
        <f t="shared" si="4"/>
        <v>1043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8">
        <v>45255.0</v>
      </c>
      <c r="B609" s="19" t="str">
        <f t="shared" si="1"/>
        <v>Saturday</v>
      </c>
      <c r="C609" s="19" t="str">
        <f>IF(D609="","",VLOOKUP(D609,Menu!$A$2:$B$105,2,0))</f>
        <v>Pizza</v>
      </c>
      <c r="D609" s="19" t="s">
        <v>17</v>
      </c>
      <c r="E609" s="19" t="s">
        <v>3</v>
      </c>
      <c r="F609" s="19">
        <v>1.0</v>
      </c>
      <c r="G609" s="19">
        <f t="array" ref="G609">IF(OR(D609="",E609=""),"",IFERROR(CHOOSE(MATCH(E609,{"S","M","L","-"},0),VLOOKUP(D609,Menu!$A$2:$F$105,3,0),VLOOKUP(D609,Menu!$A$2:$F$105,4,0),VLOOKUP(D609,Menu!$A$2:$F$105,5,0),VLOOKUP(D609,Menu!$A$2:$F$105,6,0)),"N/A"))</f>
        <v>199</v>
      </c>
      <c r="H609" s="19">
        <f t="shared" si="2"/>
        <v>199</v>
      </c>
      <c r="I609" s="19">
        <f t="shared" si="4"/>
        <v>1043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8">
        <v>45255.0</v>
      </c>
      <c r="B610" s="19" t="str">
        <f t="shared" si="1"/>
        <v>Saturday</v>
      </c>
      <c r="C610" s="19" t="str">
        <f>IF(D610="","",VLOOKUP(D610,Menu!$A$2:$B$105,2,0))</f>
        <v>Shake</v>
      </c>
      <c r="D610" s="19" t="s">
        <v>45</v>
      </c>
      <c r="E610" s="19" t="s">
        <v>5</v>
      </c>
      <c r="F610" s="19">
        <v>1.0</v>
      </c>
      <c r="G610" s="19">
        <f t="array" ref="G610">IF(OR(D610="",E610=""),"",IFERROR(CHOOSE(MATCH(E610,{"S","M","L","-"},0),VLOOKUP(D610,Menu!$A$2:$F$105,3,0),VLOOKUP(D610,Menu!$A$2:$F$105,4,0),VLOOKUP(D610,Menu!$A$2:$F$105,5,0),VLOOKUP(D610,Menu!$A$2:$F$105,6,0)),"N/A"))</f>
        <v>50</v>
      </c>
      <c r="H610" s="19">
        <f t="shared" si="2"/>
        <v>50</v>
      </c>
      <c r="I610" s="19">
        <f t="shared" si="4"/>
        <v>1043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6">
        <v>45256.0</v>
      </c>
      <c r="B611" s="17" t="str">
        <f t="shared" si="1"/>
        <v>Sunday</v>
      </c>
      <c r="C611" s="17" t="str">
        <f>IF(D611="","",VLOOKUP(D611,Menu!$A$2:$B$105,2,0))</f>
        <v>Pizza</v>
      </c>
      <c r="D611" s="17" t="s">
        <v>6</v>
      </c>
      <c r="E611" s="17" t="s">
        <v>2</v>
      </c>
      <c r="F611" s="17">
        <v>1.0</v>
      </c>
      <c r="G611" s="17">
        <f t="array" ref="G611">IF(OR(D611="",E611=""),"",IFERROR(CHOOSE(MATCH(E611,{"S","M","L","-"},0),VLOOKUP(D611,Menu!$A$2:$F$105,3,0),VLOOKUP(D611,Menu!$A$2:$F$105,4,0),VLOOKUP(D611,Menu!$A$2:$F$105,5,0),VLOOKUP(D611,Menu!$A$2:$F$105,6,0)),"N/A"))</f>
        <v>49</v>
      </c>
      <c r="H611" s="17">
        <f t="shared" si="2"/>
        <v>49</v>
      </c>
      <c r="I611" s="17">
        <f t="shared" si="4"/>
        <v>931</v>
      </c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6">
        <v>45256.0</v>
      </c>
      <c r="B612" s="17" t="str">
        <f t="shared" si="1"/>
        <v>Sunday</v>
      </c>
      <c r="C612" s="17" t="str">
        <f>IF(D612="","",VLOOKUP(D612,Menu!$A$2:$B$105,2,0))</f>
        <v>Pizza</v>
      </c>
      <c r="D612" s="17" t="s">
        <v>8</v>
      </c>
      <c r="E612" s="17" t="s">
        <v>4</v>
      </c>
      <c r="F612" s="17">
        <v>1.0</v>
      </c>
      <c r="G612" s="17">
        <f t="array" ref="G612">IF(OR(D612="",E612=""),"",IFERROR(CHOOSE(MATCH(E612,{"S","M","L","-"},0),VLOOKUP(D612,Menu!$A$2:$F$105,3,0),VLOOKUP(D612,Menu!$A$2:$F$105,4,0),VLOOKUP(D612,Menu!$A$2:$F$105,5,0),VLOOKUP(D612,Menu!$A$2:$F$105,6,0)),"N/A"))</f>
        <v>199</v>
      </c>
      <c r="H612" s="17">
        <f t="shared" si="2"/>
        <v>199</v>
      </c>
      <c r="I612" s="17">
        <f t="shared" si="4"/>
        <v>931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6">
        <v>45256.0</v>
      </c>
      <c r="B613" s="17" t="str">
        <f t="shared" si="1"/>
        <v>Sunday</v>
      </c>
      <c r="C613" s="17" t="str">
        <f>IF(D613="","",VLOOKUP(D613,Menu!$A$2:$B$105,2,0))</f>
        <v>Burger</v>
      </c>
      <c r="D613" s="17" t="s">
        <v>27</v>
      </c>
      <c r="E613" s="17" t="s">
        <v>5</v>
      </c>
      <c r="F613" s="17">
        <v>4.0</v>
      </c>
      <c r="G613" s="17">
        <f t="array" ref="G613">IF(OR(D613="",E613=""),"",IFERROR(CHOOSE(MATCH(E613,{"S","M","L","-"},0),VLOOKUP(D613,Menu!$A$2:$F$105,3,0),VLOOKUP(D613,Menu!$A$2:$F$105,4,0),VLOOKUP(D613,Menu!$A$2:$F$105,5,0),VLOOKUP(D613,Menu!$A$2:$F$105,6,0)),"N/A"))</f>
        <v>39</v>
      </c>
      <c r="H613" s="17">
        <f t="shared" si="2"/>
        <v>156</v>
      </c>
      <c r="I613" s="17">
        <f t="shared" si="4"/>
        <v>931</v>
      </c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6">
        <v>45256.0</v>
      </c>
      <c r="B614" s="17" t="str">
        <f t="shared" si="1"/>
        <v>Sunday</v>
      </c>
      <c r="C614" s="17" t="str">
        <f>IF(D614="","",VLOOKUP(D614,Menu!$A$2:$B$105,2,0))</f>
        <v>Pizza</v>
      </c>
      <c r="D614" s="17" t="s">
        <v>14</v>
      </c>
      <c r="E614" s="17" t="s">
        <v>3</v>
      </c>
      <c r="F614" s="17">
        <v>1.0</v>
      </c>
      <c r="G614" s="17">
        <f t="array" ref="G614">IF(OR(D614="",E614=""),"",IFERROR(CHOOSE(MATCH(E614,{"S","M","L","-"},0),VLOOKUP(D614,Menu!$A$2:$F$105,3,0),VLOOKUP(D614,Menu!$A$2:$F$105,4,0),VLOOKUP(D614,Menu!$A$2:$F$105,5,0),VLOOKUP(D614,Menu!$A$2:$F$105,6,0)),"N/A"))</f>
        <v>129</v>
      </c>
      <c r="H614" s="17">
        <f t="shared" si="2"/>
        <v>129</v>
      </c>
      <c r="I614" s="17">
        <f t="shared" si="4"/>
        <v>931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6">
        <v>45256.0</v>
      </c>
      <c r="B615" s="17" t="str">
        <f t="shared" si="1"/>
        <v>Sunday</v>
      </c>
      <c r="C615" s="17" t="str">
        <f>IF(D615="","",VLOOKUP(D615,Menu!$A$2:$B$105,2,0))</f>
        <v>Pizza</v>
      </c>
      <c r="D615" s="17" t="s">
        <v>16</v>
      </c>
      <c r="E615" s="17" t="s">
        <v>3</v>
      </c>
      <c r="F615" s="17">
        <v>1.0</v>
      </c>
      <c r="G615" s="17">
        <f t="array" ref="G615">IF(OR(D615="",E615=""),"",IFERROR(CHOOSE(MATCH(E615,{"S","M","L","-"},0),VLOOKUP(D615,Menu!$A$2:$F$105,3,0),VLOOKUP(D615,Menu!$A$2:$F$105,4,0),VLOOKUP(D615,Menu!$A$2:$F$105,5,0),VLOOKUP(D615,Menu!$A$2:$F$105,6,0)),"N/A"))</f>
        <v>199</v>
      </c>
      <c r="H615" s="17">
        <f t="shared" si="2"/>
        <v>199</v>
      </c>
      <c r="I615" s="17">
        <f t="shared" si="4"/>
        <v>931</v>
      </c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6">
        <v>45256.0</v>
      </c>
      <c r="B616" s="17" t="str">
        <f t="shared" si="1"/>
        <v>Sunday</v>
      </c>
      <c r="C616" s="17" t="str">
        <f>IF(D616="","",VLOOKUP(D616,Menu!$A$2:$B$105,2,0))</f>
        <v>Pizza</v>
      </c>
      <c r="D616" s="17" t="s">
        <v>18</v>
      </c>
      <c r="E616" s="17" t="s">
        <v>3</v>
      </c>
      <c r="F616" s="17">
        <v>1.0</v>
      </c>
      <c r="G616" s="17">
        <f t="array" ref="G616">IF(OR(D616="",E616=""),"",IFERROR(CHOOSE(MATCH(E616,{"S","M","L","-"},0),VLOOKUP(D616,Menu!$A$2:$F$105,3,0),VLOOKUP(D616,Menu!$A$2:$F$105,4,0),VLOOKUP(D616,Menu!$A$2:$F$105,5,0),VLOOKUP(D616,Menu!$A$2:$F$105,6,0)),"N/A"))</f>
        <v>199</v>
      </c>
      <c r="H616" s="17">
        <f t="shared" si="2"/>
        <v>199</v>
      </c>
      <c r="I616" s="17">
        <f t="shared" si="4"/>
        <v>931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8">
        <v>45257.0</v>
      </c>
      <c r="B617" s="19" t="str">
        <f t="shared" si="1"/>
        <v>Monday</v>
      </c>
      <c r="C617" s="19" t="str">
        <f>IF(D617="","",VLOOKUP(D617,Menu!$A$2:$B$105,2,0))</f>
        <v>Shake</v>
      </c>
      <c r="D617" s="19" t="s">
        <v>41</v>
      </c>
      <c r="E617" s="19" t="s">
        <v>5</v>
      </c>
      <c r="F617" s="19">
        <v>4.0</v>
      </c>
      <c r="G617" s="19">
        <f t="array" ref="G617">IF(OR(D617="",E617=""),"",IFERROR(CHOOSE(MATCH(E617,{"S","M","L","-"},0),VLOOKUP(D617,Menu!$A$2:$F$105,3,0),VLOOKUP(D617,Menu!$A$2:$F$105,4,0),VLOOKUP(D617,Menu!$A$2:$F$105,5,0),VLOOKUP(D617,Menu!$A$2:$F$105,6,0)),"N/A"))</f>
        <v>70</v>
      </c>
      <c r="H617" s="19">
        <f t="shared" si="2"/>
        <v>280</v>
      </c>
      <c r="I617" s="19">
        <f t="shared" si="4"/>
        <v>714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8">
        <v>45257.0</v>
      </c>
      <c r="B618" s="19" t="str">
        <f t="shared" si="1"/>
        <v>Monday</v>
      </c>
      <c r="C618" s="19" t="str">
        <f>IF(D618="","",VLOOKUP(D618,Menu!$A$2:$B$105,2,0))</f>
        <v>Burger</v>
      </c>
      <c r="D618" s="19" t="s">
        <v>29</v>
      </c>
      <c r="E618" s="19" t="s">
        <v>5</v>
      </c>
      <c r="F618" s="19">
        <v>2.0</v>
      </c>
      <c r="G618" s="19">
        <f t="array" ref="G618">IF(OR(D618="",E618=""),"",IFERROR(CHOOSE(MATCH(E618,{"S","M","L","-"},0),VLOOKUP(D618,Menu!$A$2:$F$105,3,0),VLOOKUP(D618,Menu!$A$2:$F$105,4,0),VLOOKUP(D618,Menu!$A$2:$F$105,5,0),VLOOKUP(D618,Menu!$A$2:$F$105,6,0)),"N/A"))</f>
        <v>59</v>
      </c>
      <c r="H618" s="19">
        <f t="shared" si="2"/>
        <v>118</v>
      </c>
      <c r="I618" s="19">
        <f t="shared" si="4"/>
        <v>714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8">
        <v>45257.0</v>
      </c>
      <c r="B619" s="19" t="str">
        <f t="shared" si="1"/>
        <v>Monday</v>
      </c>
      <c r="C619" s="19" t="str">
        <f>IF(D619="","",VLOOKUP(D619,Menu!$A$2:$B$105,2,0))</f>
        <v>Burger</v>
      </c>
      <c r="D619" s="19" t="s">
        <v>27</v>
      </c>
      <c r="E619" s="19" t="s">
        <v>5</v>
      </c>
      <c r="F619" s="19">
        <v>3.0</v>
      </c>
      <c r="G619" s="19">
        <f t="array" ref="G619">IF(OR(D619="",E619=""),"",IFERROR(CHOOSE(MATCH(E619,{"S","M","L","-"},0),VLOOKUP(D619,Menu!$A$2:$F$105,3,0),VLOOKUP(D619,Menu!$A$2:$F$105,4,0),VLOOKUP(D619,Menu!$A$2:$F$105,5,0),VLOOKUP(D619,Menu!$A$2:$F$105,6,0)),"N/A"))</f>
        <v>39</v>
      </c>
      <c r="H619" s="19">
        <f t="shared" si="2"/>
        <v>117</v>
      </c>
      <c r="I619" s="19">
        <f t="shared" si="4"/>
        <v>714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8">
        <v>45257.0</v>
      </c>
      <c r="B620" s="19" t="str">
        <f t="shared" si="1"/>
        <v>Monday</v>
      </c>
      <c r="C620" s="19" t="str">
        <f>IF(D620="","",VLOOKUP(D620,Menu!$A$2:$B$105,2,0))</f>
        <v>Pizza</v>
      </c>
      <c r="D620" s="19" t="s">
        <v>17</v>
      </c>
      <c r="E620" s="19" t="s">
        <v>3</v>
      </c>
      <c r="F620" s="19">
        <v>1.0</v>
      </c>
      <c r="G620" s="19">
        <f t="array" ref="G620">IF(OR(D620="",E620=""),"",IFERROR(CHOOSE(MATCH(E620,{"S","M","L","-"},0),VLOOKUP(D620,Menu!$A$2:$F$105,3,0),VLOOKUP(D620,Menu!$A$2:$F$105,4,0),VLOOKUP(D620,Menu!$A$2:$F$105,5,0),VLOOKUP(D620,Menu!$A$2:$F$105,6,0)),"N/A"))</f>
        <v>199</v>
      </c>
      <c r="H620" s="19">
        <f t="shared" si="2"/>
        <v>199</v>
      </c>
      <c r="I620" s="19">
        <f t="shared" si="4"/>
        <v>714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6">
        <v>45258.0</v>
      </c>
      <c r="B621" s="17" t="str">
        <f t="shared" si="1"/>
        <v>Tuesday</v>
      </c>
      <c r="C621" s="17" t="str">
        <f>IF(D621="","",VLOOKUP(D621,Menu!$A$2:$B$105,2,0))</f>
        <v>Pizza</v>
      </c>
      <c r="D621" s="17" t="s">
        <v>18</v>
      </c>
      <c r="E621" s="17" t="s">
        <v>3</v>
      </c>
      <c r="F621" s="17">
        <v>1.0</v>
      </c>
      <c r="G621" s="17">
        <f t="array" ref="G621">IF(OR(D621="",E621=""),"",IFERROR(CHOOSE(MATCH(E621,{"S","M","L","-"},0),VLOOKUP(D621,Menu!$A$2:$F$105,3,0),VLOOKUP(D621,Menu!$A$2:$F$105,4,0),VLOOKUP(D621,Menu!$A$2:$F$105,5,0),VLOOKUP(D621,Menu!$A$2:$F$105,6,0)),"N/A"))</f>
        <v>199</v>
      </c>
      <c r="H621" s="17">
        <f t="shared" si="2"/>
        <v>199</v>
      </c>
      <c r="I621" s="17">
        <f t="shared" si="4"/>
        <v>962</v>
      </c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6">
        <v>45258.0</v>
      </c>
      <c r="B622" s="17" t="str">
        <f t="shared" si="1"/>
        <v>Tuesday</v>
      </c>
      <c r="C622" s="17" t="str">
        <f>IF(D622="","",VLOOKUP(D622,Menu!$A$2:$B$105,2,0))</f>
        <v>Shake</v>
      </c>
      <c r="D622" s="17" t="s">
        <v>42</v>
      </c>
      <c r="E622" s="17" t="s">
        <v>5</v>
      </c>
      <c r="F622" s="17">
        <v>1.0</v>
      </c>
      <c r="G622" s="17">
        <f t="array" ref="G622">IF(OR(D622="",E622=""),"",IFERROR(CHOOSE(MATCH(E622,{"S","M","L","-"},0),VLOOKUP(D622,Menu!$A$2:$F$105,3,0),VLOOKUP(D622,Menu!$A$2:$F$105,4,0),VLOOKUP(D622,Menu!$A$2:$F$105,5,0),VLOOKUP(D622,Menu!$A$2:$F$105,6,0)),"N/A"))</f>
        <v>60</v>
      </c>
      <c r="H622" s="17">
        <f t="shared" si="2"/>
        <v>60</v>
      </c>
      <c r="I622" s="17">
        <f t="shared" si="4"/>
        <v>962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6">
        <v>45258.0</v>
      </c>
      <c r="B623" s="17" t="str">
        <f t="shared" si="1"/>
        <v>Tuesday</v>
      </c>
      <c r="C623" s="17" t="str">
        <f>IF(D623="","",VLOOKUP(D623,Menu!$A$2:$B$105,2,0))</f>
        <v>Pizza</v>
      </c>
      <c r="D623" s="17" t="s">
        <v>26</v>
      </c>
      <c r="E623" s="17" t="s">
        <v>5</v>
      </c>
      <c r="F623" s="17">
        <v>1.0</v>
      </c>
      <c r="G623" s="17">
        <f t="array" ref="G623">IF(OR(D623="",E623=""),"",IFERROR(CHOOSE(MATCH(E623,{"S","M","L","-"},0),VLOOKUP(D623,Menu!$A$2:$F$105,3,0),VLOOKUP(D623,Menu!$A$2:$F$105,4,0),VLOOKUP(D623,Menu!$A$2:$F$105,5,0),VLOOKUP(D623,Menu!$A$2:$F$105,6,0)),"N/A"))</f>
        <v>99</v>
      </c>
      <c r="H623" s="17">
        <f t="shared" si="2"/>
        <v>99</v>
      </c>
      <c r="I623" s="17">
        <f t="shared" si="4"/>
        <v>962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6">
        <v>45258.0</v>
      </c>
      <c r="B624" s="17" t="str">
        <f t="shared" si="1"/>
        <v>Tuesday</v>
      </c>
      <c r="C624" s="17" t="str">
        <f>IF(D624="","",VLOOKUP(D624,Menu!$A$2:$B$105,2,0))</f>
        <v>Burger</v>
      </c>
      <c r="D624" s="17" t="s">
        <v>27</v>
      </c>
      <c r="E624" s="17" t="s">
        <v>5</v>
      </c>
      <c r="F624" s="17">
        <v>1.0</v>
      </c>
      <c r="G624" s="17">
        <f t="array" ref="G624">IF(OR(D624="",E624=""),"",IFERROR(CHOOSE(MATCH(E624,{"S","M","L","-"},0),VLOOKUP(D624,Menu!$A$2:$F$105,3,0),VLOOKUP(D624,Menu!$A$2:$F$105,4,0),VLOOKUP(D624,Menu!$A$2:$F$105,5,0),VLOOKUP(D624,Menu!$A$2:$F$105,6,0)),"N/A"))</f>
        <v>39</v>
      </c>
      <c r="H624" s="17">
        <f t="shared" si="2"/>
        <v>39</v>
      </c>
      <c r="I624" s="17">
        <f t="shared" si="4"/>
        <v>962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6">
        <v>45258.0</v>
      </c>
      <c r="B625" s="17" t="str">
        <f t="shared" si="1"/>
        <v>Tuesday</v>
      </c>
      <c r="C625" s="17" t="str">
        <f>IF(D625="","",VLOOKUP(D625,Menu!$A$2:$B$105,2,0))</f>
        <v>Pizza</v>
      </c>
      <c r="D625" s="17" t="s">
        <v>11</v>
      </c>
      <c r="E625" s="17" t="s">
        <v>3</v>
      </c>
      <c r="F625" s="17">
        <v>1.0</v>
      </c>
      <c r="G625" s="17">
        <f t="array" ref="G625">IF(OR(D625="",E625=""),"",IFERROR(CHOOSE(MATCH(E625,{"S","M","L","-"},0),VLOOKUP(D625,Menu!$A$2:$F$105,3,0),VLOOKUP(D625,Menu!$A$2:$F$105,4,0),VLOOKUP(D625,Menu!$A$2:$F$105,5,0),VLOOKUP(D625,Menu!$A$2:$F$105,6,0)),"N/A"))</f>
        <v>109</v>
      </c>
      <c r="H625" s="17">
        <f t="shared" si="2"/>
        <v>109</v>
      </c>
      <c r="I625" s="17">
        <f t="shared" si="4"/>
        <v>962</v>
      </c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6">
        <v>45258.0</v>
      </c>
      <c r="B626" s="17" t="str">
        <f t="shared" si="1"/>
        <v>Tuesday</v>
      </c>
      <c r="C626" s="17" t="str">
        <f>IF(D626="","",VLOOKUP(D626,Menu!$A$2:$B$105,2,0))</f>
        <v>Pizza</v>
      </c>
      <c r="D626" s="17" t="s">
        <v>6</v>
      </c>
      <c r="E626" s="17" t="s">
        <v>2</v>
      </c>
      <c r="F626" s="17">
        <v>2.0</v>
      </c>
      <c r="G626" s="17">
        <f t="array" ref="G626">IF(OR(D626="",E626=""),"",IFERROR(CHOOSE(MATCH(E626,{"S","M","L","-"},0),VLOOKUP(D626,Menu!$A$2:$F$105,3,0),VLOOKUP(D626,Menu!$A$2:$F$105,4,0),VLOOKUP(D626,Menu!$A$2:$F$105,5,0),VLOOKUP(D626,Menu!$A$2:$F$105,6,0)),"N/A"))</f>
        <v>49</v>
      </c>
      <c r="H626" s="17">
        <f t="shared" si="2"/>
        <v>98</v>
      </c>
      <c r="I626" s="17">
        <f t="shared" si="4"/>
        <v>962</v>
      </c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6">
        <v>45258.0</v>
      </c>
      <c r="B627" s="17" t="str">
        <f t="shared" si="1"/>
        <v>Tuesday</v>
      </c>
      <c r="C627" s="17" t="str">
        <f>IF(D627="","",VLOOKUP(D627,Menu!$A$2:$B$105,2,0))</f>
        <v>Add-on</v>
      </c>
      <c r="D627" s="17" t="s">
        <v>67</v>
      </c>
      <c r="E627" s="17" t="s">
        <v>5</v>
      </c>
      <c r="F627" s="17">
        <v>2.0</v>
      </c>
      <c r="G627" s="17">
        <f t="array" ref="G627">IF(OR(D627="",E627=""),"",IFERROR(CHOOSE(MATCH(E627,{"S","M","L","-"},0),VLOOKUP(D627,Menu!$A$2:$F$105,3,0),VLOOKUP(D627,Menu!$A$2:$F$105,4,0),VLOOKUP(D627,Menu!$A$2:$F$105,5,0),VLOOKUP(D627,Menu!$A$2:$F$105,6,0)),"N/A"))</f>
        <v>40</v>
      </c>
      <c r="H627" s="17">
        <f t="shared" si="2"/>
        <v>80</v>
      </c>
      <c r="I627" s="17">
        <f t="shared" si="4"/>
        <v>962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6">
        <v>45258.0</v>
      </c>
      <c r="B628" s="17" t="str">
        <f t="shared" si="1"/>
        <v>Tuesday</v>
      </c>
      <c r="C628" s="17" t="str">
        <f>IF(D628="","",VLOOKUP(D628,Menu!$A$2:$B$105,2,0))</f>
        <v>Pizza</v>
      </c>
      <c r="D628" s="17" t="s">
        <v>23</v>
      </c>
      <c r="E628" s="17" t="s">
        <v>2</v>
      </c>
      <c r="F628" s="17">
        <v>1.0</v>
      </c>
      <c r="G628" s="17">
        <f t="array" ref="G628">IF(OR(D628="",E628=""),"",IFERROR(CHOOSE(MATCH(E628,{"S","M","L","-"},0),VLOOKUP(D628,Menu!$A$2:$F$105,3,0),VLOOKUP(D628,Menu!$A$2:$F$105,4,0),VLOOKUP(D628,Menu!$A$2:$F$105,5,0),VLOOKUP(D628,Menu!$A$2:$F$105,6,0)),"N/A"))</f>
        <v>129</v>
      </c>
      <c r="H628" s="17">
        <f t="shared" si="2"/>
        <v>129</v>
      </c>
      <c r="I628" s="17">
        <f t="shared" si="4"/>
        <v>962</v>
      </c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6">
        <v>45258.0</v>
      </c>
      <c r="B629" s="17" t="str">
        <f t="shared" si="1"/>
        <v>Tuesday</v>
      </c>
      <c r="C629" s="17" t="str">
        <f>IF(D629="","",VLOOKUP(D629,Menu!$A$2:$B$105,2,0))</f>
        <v>Pizza</v>
      </c>
      <c r="D629" s="17" t="s">
        <v>24</v>
      </c>
      <c r="E629" s="17" t="s">
        <v>2</v>
      </c>
      <c r="F629" s="17">
        <v>1.0</v>
      </c>
      <c r="G629" s="17">
        <f t="array" ref="G629">IF(OR(D629="",E629=""),"",IFERROR(CHOOSE(MATCH(E629,{"S","M","L","-"},0),VLOOKUP(D629,Menu!$A$2:$F$105,3,0),VLOOKUP(D629,Menu!$A$2:$F$105,4,0),VLOOKUP(D629,Menu!$A$2:$F$105,5,0),VLOOKUP(D629,Menu!$A$2:$F$105,6,0)),"N/A"))</f>
        <v>149</v>
      </c>
      <c r="H629" s="17">
        <f t="shared" si="2"/>
        <v>149</v>
      </c>
      <c r="I629" s="17">
        <f t="shared" si="4"/>
        <v>962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8">
        <v>45259.0</v>
      </c>
      <c r="B630" s="19" t="str">
        <f t="shared" si="1"/>
        <v>Wednesday</v>
      </c>
      <c r="C630" s="19" t="str">
        <f>IF(D630="","",VLOOKUP(D630,Menu!$A$2:$B$105,2,0))</f>
        <v>Pizza</v>
      </c>
      <c r="D630" s="19" t="s">
        <v>16</v>
      </c>
      <c r="E630" s="19" t="s">
        <v>2</v>
      </c>
      <c r="F630" s="19">
        <v>7.0</v>
      </c>
      <c r="G630" s="19">
        <f t="array" ref="G630">IF(OR(D630="",E630=""),"",IFERROR(CHOOSE(MATCH(E630,{"S","M","L","-"},0),VLOOKUP(D630,Menu!$A$2:$F$105,3,0),VLOOKUP(D630,Menu!$A$2:$F$105,4,0),VLOOKUP(D630,Menu!$A$2:$F$105,5,0),VLOOKUP(D630,Menu!$A$2:$F$105,6,0)),"N/A"))</f>
        <v>109</v>
      </c>
      <c r="H630" s="19">
        <f t="shared" si="2"/>
        <v>763</v>
      </c>
      <c r="I630" s="19">
        <f t="shared" si="4"/>
        <v>2594</v>
      </c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8">
        <v>45259.0</v>
      </c>
      <c r="B631" s="19" t="str">
        <f t="shared" si="1"/>
        <v>Wednesday</v>
      </c>
      <c r="C631" s="19" t="str">
        <f>IF(D631="","",VLOOKUP(D631,Menu!$A$2:$B$105,2,0))</f>
        <v>Pizza</v>
      </c>
      <c r="D631" s="19" t="s">
        <v>16</v>
      </c>
      <c r="E631" s="19" t="s">
        <v>4</v>
      </c>
      <c r="F631" s="19">
        <v>1.0</v>
      </c>
      <c r="G631" s="19">
        <f t="array" ref="G631">IF(OR(D631="",E631=""),"",IFERROR(CHOOSE(MATCH(E631,{"S","M","L","-"},0),VLOOKUP(D631,Menu!$A$2:$F$105,3,0),VLOOKUP(D631,Menu!$A$2:$F$105,4,0),VLOOKUP(D631,Menu!$A$2:$F$105,5,0),VLOOKUP(D631,Menu!$A$2:$F$105,6,0)),"N/A"))</f>
        <v>289</v>
      </c>
      <c r="H631" s="19">
        <f t="shared" si="2"/>
        <v>289</v>
      </c>
      <c r="I631" s="19">
        <f t="shared" si="4"/>
        <v>2594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8">
        <v>45259.0</v>
      </c>
      <c r="B632" s="19" t="str">
        <f t="shared" si="1"/>
        <v>Wednesday</v>
      </c>
      <c r="C632" s="19" t="str">
        <f>IF(D632="","",VLOOKUP(D632,Menu!$A$2:$B$105,2,0))</f>
        <v>Pizza</v>
      </c>
      <c r="D632" s="19" t="s">
        <v>18</v>
      </c>
      <c r="E632" s="19" t="s">
        <v>3</v>
      </c>
      <c r="F632" s="19">
        <v>1.0</v>
      </c>
      <c r="G632" s="19">
        <f t="array" ref="G632">IF(OR(D632="",E632=""),"",IFERROR(CHOOSE(MATCH(E632,{"S","M","L","-"},0),VLOOKUP(D632,Menu!$A$2:$F$105,3,0),VLOOKUP(D632,Menu!$A$2:$F$105,4,0),VLOOKUP(D632,Menu!$A$2:$F$105,5,0),VLOOKUP(D632,Menu!$A$2:$F$105,6,0)),"N/A"))</f>
        <v>199</v>
      </c>
      <c r="H632" s="19">
        <f t="shared" si="2"/>
        <v>199</v>
      </c>
      <c r="I632" s="19">
        <f t="shared" si="4"/>
        <v>2594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8">
        <v>45259.0</v>
      </c>
      <c r="B633" s="19" t="str">
        <f t="shared" si="1"/>
        <v>Wednesday</v>
      </c>
      <c r="C633" s="19" t="str">
        <f>IF(D633="","",VLOOKUP(D633,Menu!$A$2:$B$105,2,0))</f>
        <v>Pizza</v>
      </c>
      <c r="D633" s="19" t="s">
        <v>11</v>
      </c>
      <c r="E633" s="19" t="s">
        <v>2</v>
      </c>
      <c r="F633" s="19">
        <v>1.0</v>
      </c>
      <c r="G633" s="19">
        <f t="array" ref="G633">IF(OR(D633="",E633=""),"",IFERROR(CHOOSE(MATCH(E633,{"S","M","L","-"},0),VLOOKUP(D633,Menu!$A$2:$F$105,3,0),VLOOKUP(D633,Menu!$A$2:$F$105,4,0),VLOOKUP(D633,Menu!$A$2:$F$105,5,0),VLOOKUP(D633,Menu!$A$2:$F$105,6,0)),"N/A"))</f>
        <v>69</v>
      </c>
      <c r="H633" s="19">
        <f t="shared" si="2"/>
        <v>69</v>
      </c>
      <c r="I633" s="19">
        <f t="shared" si="4"/>
        <v>2594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8">
        <v>45259.0</v>
      </c>
      <c r="B634" s="19" t="str">
        <f t="shared" si="1"/>
        <v>Wednesday</v>
      </c>
      <c r="C634" s="19" t="str">
        <f>IF(D634="","",VLOOKUP(D634,Menu!$A$2:$B$105,2,0))</f>
        <v>Pizza</v>
      </c>
      <c r="D634" s="19" t="s">
        <v>6</v>
      </c>
      <c r="E634" s="19" t="s">
        <v>2</v>
      </c>
      <c r="F634" s="19">
        <v>1.0</v>
      </c>
      <c r="G634" s="19">
        <f t="array" ref="G634">IF(OR(D634="",E634=""),"",IFERROR(CHOOSE(MATCH(E634,{"S","M","L","-"},0),VLOOKUP(D634,Menu!$A$2:$F$105,3,0),VLOOKUP(D634,Menu!$A$2:$F$105,4,0),VLOOKUP(D634,Menu!$A$2:$F$105,5,0),VLOOKUP(D634,Menu!$A$2:$F$105,6,0)),"N/A"))</f>
        <v>49</v>
      </c>
      <c r="H634" s="19">
        <f t="shared" si="2"/>
        <v>49</v>
      </c>
      <c r="I634" s="19">
        <f t="shared" si="4"/>
        <v>2594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8">
        <v>45259.0</v>
      </c>
      <c r="B635" s="19" t="str">
        <f t="shared" si="1"/>
        <v>Wednesday</v>
      </c>
      <c r="C635" s="19" t="str">
        <f>IF(D635="","",VLOOKUP(D635,Menu!$A$2:$B$105,2,0))</f>
        <v>Pizza</v>
      </c>
      <c r="D635" s="19" t="s">
        <v>16</v>
      </c>
      <c r="E635" s="19" t="s">
        <v>3</v>
      </c>
      <c r="F635" s="19">
        <v>2.0</v>
      </c>
      <c r="G635" s="19">
        <f t="array" ref="G635">IF(OR(D635="",E635=""),"",IFERROR(CHOOSE(MATCH(E635,{"S","M","L","-"},0),VLOOKUP(D635,Menu!$A$2:$F$105,3,0),VLOOKUP(D635,Menu!$A$2:$F$105,4,0),VLOOKUP(D635,Menu!$A$2:$F$105,5,0),VLOOKUP(D635,Menu!$A$2:$F$105,6,0)),"N/A"))</f>
        <v>199</v>
      </c>
      <c r="H635" s="19">
        <f t="shared" si="2"/>
        <v>398</v>
      </c>
      <c r="I635" s="19">
        <f t="shared" si="4"/>
        <v>2594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8">
        <v>45259.0</v>
      </c>
      <c r="B636" s="19" t="str">
        <f t="shared" si="1"/>
        <v>Wednesday</v>
      </c>
      <c r="C636" s="19" t="str">
        <f>IF(D636="","",VLOOKUP(D636,Menu!$A$2:$B$105,2,0))</f>
        <v>Pizza</v>
      </c>
      <c r="D636" s="19" t="s">
        <v>13</v>
      </c>
      <c r="E636" s="19" t="s">
        <v>4</v>
      </c>
      <c r="F636" s="19">
        <v>1.0</v>
      </c>
      <c r="G636" s="19">
        <f t="array" ref="G636">IF(OR(D636="",E636=""),"",IFERROR(CHOOSE(MATCH(E636,{"S","M","L","-"},0),VLOOKUP(D636,Menu!$A$2:$F$105,3,0),VLOOKUP(D636,Menu!$A$2:$F$105,4,0),VLOOKUP(D636,Menu!$A$2:$F$105,5,0),VLOOKUP(D636,Menu!$A$2:$F$105,6,0)),"N/A"))</f>
        <v>209</v>
      </c>
      <c r="H636" s="19">
        <f t="shared" si="2"/>
        <v>209</v>
      </c>
      <c r="I636" s="19">
        <f t="shared" si="4"/>
        <v>2594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8">
        <v>45259.0</v>
      </c>
      <c r="B637" s="19" t="str">
        <f t="shared" si="1"/>
        <v>Wednesday</v>
      </c>
      <c r="C637" s="19" t="str">
        <f>IF(D637="","",VLOOKUP(D637,Menu!$A$2:$B$105,2,0))</f>
        <v>Pizza</v>
      </c>
      <c r="D637" s="19" t="s">
        <v>15</v>
      </c>
      <c r="E637" s="19" t="s">
        <v>2</v>
      </c>
      <c r="F637" s="19">
        <v>1.0</v>
      </c>
      <c r="G637" s="19">
        <f t="array" ref="G637">IF(OR(D637="",E637=""),"",IFERROR(CHOOSE(MATCH(E637,{"S","M","L","-"},0),VLOOKUP(D637,Menu!$A$2:$F$105,3,0),VLOOKUP(D637,Menu!$A$2:$F$105,4,0),VLOOKUP(D637,Menu!$A$2:$F$105,5,0),VLOOKUP(D637,Menu!$A$2:$F$105,6,0)),"N/A"))</f>
        <v>99</v>
      </c>
      <c r="H637" s="19">
        <f t="shared" si="2"/>
        <v>99</v>
      </c>
      <c r="I637" s="19">
        <f t="shared" si="4"/>
        <v>2594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8">
        <v>45259.0</v>
      </c>
      <c r="B638" s="19" t="str">
        <f t="shared" si="1"/>
        <v>Wednesday</v>
      </c>
      <c r="C638" s="19" t="str">
        <f>IF(D638="","",VLOOKUP(D638,Menu!$A$2:$B$105,2,0))</f>
        <v>Burger</v>
      </c>
      <c r="D638" s="19" t="s">
        <v>27</v>
      </c>
      <c r="E638" s="19" t="s">
        <v>5</v>
      </c>
      <c r="F638" s="19">
        <v>1.0</v>
      </c>
      <c r="G638" s="19">
        <f t="array" ref="G638">IF(OR(D638="",E638=""),"",IFERROR(CHOOSE(MATCH(E638,{"S","M","L","-"},0),VLOOKUP(D638,Menu!$A$2:$F$105,3,0),VLOOKUP(D638,Menu!$A$2:$F$105,4,0),VLOOKUP(D638,Menu!$A$2:$F$105,5,0),VLOOKUP(D638,Menu!$A$2:$F$105,6,0)),"N/A"))</f>
        <v>39</v>
      </c>
      <c r="H638" s="19">
        <f t="shared" si="2"/>
        <v>39</v>
      </c>
      <c r="I638" s="19">
        <f t="shared" si="4"/>
        <v>2594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8">
        <v>45259.0</v>
      </c>
      <c r="B639" s="19" t="str">
        <f t="shared" si="1"/>
        <v>Wednesday</v>
      </c>
      <c r="C639" s="19" t="str">
        <f>IF(D639="","",VLOOKUP(D639,Menu!$A$2:$B$105,2,0))</f>
        <v>Dessert</v>
      </c>
      <c r="D639" s="19" t="s">
        <v>56</v>
      </c>
      <c r="E639" s="19" t="s">
        <v>5</v>
      </c>
      <c r="F639" s="19">
        <v>3.0</v>
      </c>
      <c r="G639" s="19">
        <f t="array" ref="G639">IF(OR(D639="",E639=""),"",IFERROR(CHOOSE(MATCH(E639,{"S","M","L","-"},0),VLOOKUP(D639,Menu!$A$2:$F$105,3,0),VLOOKUP(D639,Menu!$A$2:$F$105,4,0),VLOOKUP(D639,Menu!$A$2:$F$105,5,0),VLOOKUP(D639,Menu!$A$2:$F$105,6,0)),"N/A"))</f>
        <v>110</v>
      </c>
      <c r="H639" s="19">
        <f t="shared" si="2"/>
        <v>330</v>
      </c>
      <c r="I639" s="19">
        <f t="shared" si="4"/>
        <v>2594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8">
        <v>45259.0</v>
      </c>
      <c r="B640" s="19" t="str">
        <f t="shared" si="1"/>
        <v>Wednesday</v>
      </c>
      <c r="C640" s="19" t="str">
        <f>IF(D640="","",VLOOKUP(D640,Menu!$A$2:$B$105,2,0))</f>
        <v>Shake</v>
      </c>
      <c r="D640" s="19" t="s">
        <v>46</v>
      </c>
      <c r="E640" s="19" t="s">
        <v>5</v>
      </c>
      <c r="F640" s="19">
        <v>3.0</v>
      </c>
      <c r="G640" s="19">
        <f t="array" ref="G640">IF(OR(D640="",E640=""),"",IFERROR(CHOOSE(MATCH(E640,{"S","M","L","-"},0),VLOOKUP(D640,Menu!$A$2:$F$105,3,0),VLOOKUP(D640,Menu!$A$2:$F$105,4,0),VLOOKUP(D640,Menu!$A$2:$F$105,5,0),VLOOKUP(D640,Menu!$A$2:$F$105,6,0)),"N/A"))</f>
        <v>50</v>
      </c>
      <c r="H640" s="19">
        <f t="shared" si="2"/>
        <v>150</v>
      </c>
      <c r="I640" s="19">
        <f t="shared" si="4"/>
        <v>2594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6">
        <v>45260.0</v>
      </c>
      <c r="B641" s="17" t="str">
        <f t="shared" si="1"/>
        <v>Thursday</v>
      </c>
      <c r="C641" s="17" t="str">
        <f>IF(D641="","",VLOOKUP(D641,Menu!$A$2:$B$105,2,0))</f>
        <v>Pizza</v>
      </c>
      <c r="D641" s="17" t="s">
        <v>8</v>
      </c>
      <c r="E641" s="17" t="s">
        <v>2</v>
      </c>
      <c r="F641" s="17">
        <v>2.0</v>
      </c>
      <c r="G641" s="17">
        <f t="array" ref="G641">IF(OR(D641="",E641=""),"",IFERROR(CHOOSE(MATCH(E641,{"S","M","L","-"},0),VLOOKUP(D641,Menu!$A$2:$F$105,3,0),VLOOKUP(D641,Menu!$A$2:$F$105,4,0),VLOOKUP(D641,Menu!$A$2:$F$105,5,0),VLOOKUP(D641,Menu!$A$2:$F$105,6,0)),"N/A"))</f>
        <v>59</v>
      </c>
      <c r="H641" s="17">
        <f t="shared" si="2"/>
        <v>118</v>
      </c>
      <c r="I641" s="17">
        <f t="shared" si="4"/>
        <v>1420</v>
      </c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6">
        <v>45260.0</v>
      </c>
      <c r="B642" s="17" t="str">
        <f t="shared" si="1"/>
        <v>Thursday</v>
      </c>
      <c r="C642" s="17" t="str">
        <f>IF(D642="","",VLOOKUP(D642,Menu!$A$2:$B$105,2,0))</f>
        <v>Pizza</v>
      </c>
      <c r="D642" s="17" t="s">
        <v>18</v>
      </c>
      <c r="E642" s="17" t="s">
        <v>2</v>
      </c>
      <c r="F642" s="17">
        <v>1.0</v>
      </c>
      <c r="G642" s="17">
        <f t="array" ref="G642">IF(OR(D642="",E642=""),"",IFERROR(CHOOSE(MATCH(E642,{"S","M","L","-"},0),VLOOKUP(D642,Menu!$A$2:$F$105,3,0),VLOOKUP(D642,Menu!$A$2:$F$105,4,0),VLOOKUP(D642,Menu!$A$2:$F$105,5,0),VLOOKUP(D642,Menu!$A$2:$F$105,6,0)),"N/A"))</f>
        <v>109</v>
      </c>
      <c r="H642" s="17">
        <f t="shared" si="2"/>
        <v>109</v>
      </c>
      <c r="I642" s="17">
        <f t="shared" si="4"/>
        <v>1420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6">
        <v>45260.0</v>
      </c>
      <c r="B643" s="17" t="str">
        <f t="shared" si="1"/>
        <v>Thursday</v>
      </c>
      <c r="C643" s="17" t="str">
        <f>IF(D643="","",VLOOKUP(D643,Menu!$A$2:$B$105,2,0))</f>
        <v>Pizza</v>
      </c>
      <c r="D643" s="17" t="s">
        <v>18</v>
      </c>
      <c r="E643" s="17" t="s">
        <v>4</v>
      </c>
      <c r="F643" s="17">
        <v>2.0</v>
      </c>
      <c r="G643" s="17">
        <f t="array" ref="G643">IF(OR(D643="",E643=""),"",IFERROR(CHOOSE(MATCH(E643,{"S","M","L","-"},0),VLOOKUP(D643,Menu!$A$2:$F$105,3,0),VLOOKUP(D643,Menu!$A$2:$F$105,4,0),VLOOKUP(D643,Menu!$A$2:$F$105,5,0),VLOOKUP(D643,Menu!$A$2:$F$105,6,0)),"N/A"))</f>
        <v>299</v>
      </c>
      <c r="H643" s="17">
        <f t="shared" si="2"/>
        <v>598</v>
      </c>
      <c r="I643" s="17">
        <f t="shared" si="4"/>
        <v>1420</v>
      </c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6">
        <v>45260.0</v>
      </c>
      <c r="B644" s="17" t="str">
        <f t="shared" si="1"/>
        <v>Thursday</v>
      </c>
      <c r="C644" s="17" t="str">
        <f>IF(D644="","",VLOOKUP(D644,Menu!$A$2:$B$105,2,0))</f>
        <v>Pizza</v>
      </c>
      <c r="D644" s="17" t="s">
        <v>8</v>
      </c>
      <c r="E644" s="17" t="s">
        <v>3</v>
      </c>
      <c r="F644" s="17">
        <v>1.0</v>
      </c>
      <c r="G644" s="17">
        <f t="array" ref="G644">IF(OR(D644="",E644=""),"",IFERROR(CHOOSE(MATCH(E644,{"S","M","L","-"},0),VLOOKUP(D644,Menu!$A$2:$F$105,3,0),VLOOKUP(D644,Menu!$A$2:$F$105,4,0),VLOOKUP(D644,Menu!$A$2:$F$105,5,0),VLOOKUP(D644,Menu!$A$2:$F$105,6,0)),"N/A"))</f>
        <v>109</v>
      </c>
      <c r="H644" s="17">
        <f t="shared" si="2"/>
        <v>109</v>
      </c>
      <c r="I644" s="17">
        <f t="shared" si="4"/>
        <v>1420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6">
        <v>45260.0</v>
      </c>
      <c r="B645" s="17" t="str">
        <f t="shared" si="1"/>
        <v>Thursday</v>
      </c>
      <c r="C645" s="17" t="str">
        <f>IF(D645="","",VLOOKUP(D645,Menu!$A$2:$B$105,2,0))</f>
        <v>Pizza</v>
      </c>
      <c r="D645" s="17" t="s">
        <v>11</v>
      </c>
      <c r="E645" s="17" t="s">
        <v>3</v>
      </c>
      <c r="F645" s="17">
        <v>1.0</v>
      </c>
      <c r="G645" s="17">
        <f t="array" ref="G645">IF(OR(D645="",E645=""),"",IFERROR(CHOOSE(MATCH(E645,{"S","M","L","-"},0),VLOOKUP(D645,Menu!$A$2:$F$105,3,0),VLOOKUP(D645,Menu!$A$2:$F$105,4,0),VLOOKUP(D645,Menu!$A$2:$F$105,5,0),VLOOKUP(D645,Menu!$A$2:$F$105,6,0)),"N/A"))</f>
        <v>109</v>
      </c>
      <c r="H645" s="17">
        <f t="shared" si="2"/>
        <v>109</v>
      </c>
      <c r="I645" s="17">
        <f t="shared" si="4"/>
        <v>1420</v>
      </c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6">
        <v>45260.0</v>
      </c>
      <c r="B646" s="17" t="str">
        <f t="shared" si="1"/>
        <v>Thursday</v>
      </c>
      <c r="C646" s="17" t="str">
        <f>IF(D646="","",VLOOKUP(D646,Menu!$A$2:$B$105,2,0))</f>
        <v>Pizza</v>
      </c>
      <c r="D646" s="17" t="s">
        <v>12</v>
      </c>
      <c r="E646" s="17" t="s">
        <v>4</v>
      </c>
      <c r="F646" s="17">
        <v>1.0</v>
      </c>
      <c r="G646" s="17">
        <f t="array" ref="G646">IF(OR(D646="",E646=""),"",IFERROR(CHOOSE(MATCH(E646,{"S","M","L","-"},0),VLOOKUP(D646,Menu!$A$2:$F$105,3,0),VLOOKUP(D646,Menu!$A$2:$F$105,4,0),VLOOKUP(D646,Menu!$A$2:$F$105,5,0),VLOOKUP(D646,Menu!$A$2:$F$105,6,0)),"N/A"))</f>
        <v>209</v>
      </c>
      <c r="H646" s="17">
        <f t="shared" si="2"/>
        <v>209</v>
      </c>
      <c r="I646" s="17">
        <f t="shared" si="4"/>
        <v>1420</v>
      </c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6">
        <v>45260.0</v>
      </c>
      <c r="B647" s="17" t="str">
        <f t="shared" si="1"/>
        <v>Thursday</v>
      </c>
      <c r="C647" s="17" t="str">
        <f>IF(D647="","",VLOOKUP(D647,Menu!$A$2:$B$105,2,0))</f>
        <v>Pizza</v>
      </c>
      <c r="D647" s="17" t="s">
        <v>9</v>
      </c>
      <c r="E647" s="17" t="s">
        <v>2</v>
      </c>
      <c r="F647" s="17">
        <v>1.0</v>
      </c>
      <c r="G647" s="17">
        <f t="array" ref="G647">IF(OR(D647="",E647=""),"",IFERROR(CHOOSE(MATCH(E647,{"S","M","L","-"},0),VLOOKUP(D647,Menu!$A$2:$F$105,3,0),VLOOKUP(D647,Menu!$A$2:$F$105,4,0),VLOOKUP(D647,Menu!$A$2:$F$105,5,0),VLOOKUP(D647,Menu!$A$2:$F$105,6,0)),"N/A"))</f>
        <v>59</v>
      </c>
      <c r="H647" s="17">
        <f t="shared" si="2"/>
        <v>59</v>
      </c>
      <c r="I647" s="17">
        <f t="shared" si="4"/>
        <v>1420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6">
        <v>45260.0</v>
      </c>
      <c r="B648" s="17" t="str">
        <f t="shared" si="1"/>
        <v>Thursday</v>
      </c>
      <c r="C648" s="17" t="str">
        <f>IF(D648="","",VLOOKUP(D648,Menu!$A$2:$B$105,2,0))</f>
        <v>Pizza</v>
      </c>
      <c r="D648" s="17" t="s">
        <v>16</v>
      </c>
      <c r="E648" s="17" t="s">
        <v>2</v>
      </c>
      <c r="F648" s="17">
        <v>1.0</v>
      </c>
      <c r="G648" s="17">
        <f t="array" ref="G648">IF(OR(D648="",E648=""),"",IFERROR(CHOOSE(MATCH(E648,{"S","M","L","-"},0),VLOOKUP(D648,Menu!$A$2:$F$105,3,0),VLOOKUP(D648,Menu!$A$2:$F$105,4,0),VLOOKUP(D648,Menu!$A$2:$F$105,5,0),VLOOKUP(D648,Menu!$A$2:$F$105,6,0)),"N/A"))</f>
        <v>109</v>
      </c>
      <c r="H648" s="17">
        <f t="shared" si="2"/>
        <v>109</v>
      </c>
      <c r="I648" s="17">
        <f t="shared" si="4"/>
        <v>1420</v>
      </c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8">
        <v>45261.0</v>
      </c>
      <c r="B649" s="19" t="str">
        <f t="shared" si="1"/>
        <v>Friday</v>
      </c>
      <c r="C649" s="19" t="str">
        <f>IF(D649="","",VLOOKUP(D649,Menu!$A$2:$B$105,2,0))</f>
        <v>Burger</v>
      </c>
      <c r="D649" s="19" t="s">
        <v>29</v>
      </c>
      <c r="E649" s="19" t="s">
        <v>5</v>
      </c>
      <c r="F649" s="19">
        <v>2.0</v>
      </c>
      <c r="G649" s="19">
        <f t="array" ref="G649">IF(OR(D649="",E649=""),"",IFERROR(CHOOSE(MATCH(E649,{"S","M","L","-"},0),VLOOKUP(D649,Menu!$A$2:$F$105,3,0),VLOOKUP(D649,Menu!$A$2:$F$105,4,0),VLOOKUP(D649,Menu!$A$2:$F$105,5,0),VLOOKUP(D649,Menu!$A$2:$F$105,6,0)),"N/A"))</f>
        <v>59</v>
      </c>
      <c r="H649" s="19">
        <f t="shared" si="2"/>
        <v>118</v>
      </c>
      <c r="I649" s="19">
        <f t="shared" si="4"/>
        <v>406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8">
        <v>45261.0</v>
      </c>
      <c r="B650" s="19" t="str">
        <f t="shared" si="1"/>
        <v>Friday</v>
      </c>
      <c r="C650" s="19" t="str">
        <f>IF(D650="","",VLOOKUP(D650,Menu!$A$2:$B$105,2,0))</f>
        <v>Burger</v>
      </c>
      <c r="D650" s="19" t="s">
        <v>27</v>
      </c>
      <c r="E650" s="19" t="s">
        <v>5</v>
      </c>
      <c r="F650" s="19">
        <v>2.0</v>
      </c>
      <c r="G650" s="19">
        <f t="array" ref="G650">IF(OR(D650="",E650=""),"",IFERROR(CHOOSE(MATCH(E650,{"S","M","L","-"},0),VLOOKUP(D650,Menu!$A$2:$F$105,3,0),VLOOKUP(D650,Menu!$A$2:$F$105,4,0),VLOOKUP(D650,Menu!$A$2:$F$105,5,0),VLOOKUP(D650,Menu!$A$2:$F$105,6,0)),"N/A"))</f>
        <v>39</v>
      </c>
      <c r="H650" s="19">
        <f t="shared" si="2"/>
        <v>78</v>
      </c>
      <c r="I650" s="19">
        <f t="shared" si="4"/>
        <v>406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8">
        <v>45261.0</v>
      </c>
      <c r="B651" s="19" t="str">
        <f t="shared" si="1"/>
        <v>Friday</v>
      </c>
      <c r="C651" s="19" t="str">
        <f>IF(D651="","",VLOOKUP(D651,Menu!$A$2:$B$105,2,0))</f>
        <v>Shake</v>
      </c>
      <c r="D651" s="19" t="s">
        <v>38</v>
      </c>
      <c r="E651" s="19" t="s">
        <v>5</v>
      </c>
      <c r="F651" s="19">
        <v>3.0</v>
      </c>
      <c r="G651" s="19">
        <f t="array" ref="G651">IF(OR(D651="",E651=""),"",IFERROR(CHOOSE(MATCH(E651,{"S","M","L","-"},0),VLOOKUP(D651,Menu!$A$2:$F$105,3,0),VLOOKUP(D651,Menu!$A$2:$F$105,4,0),VLOOKUP(D651,Menu!$A$2:$F$105,5,0),VLOOKUP(D651,Menu!$A$2:$F$105,6,0)),"N/A"))</f>
        <v>70</v>
      </c>
      <c r="H651" s="19">
        <f t="shared" si="2"/>
        <v>210</v>
      </c>
      <c r="I651" s="19">
        <f t="shared" si="4"/>
        <v>406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6">
        <v>45262.0</v>
      </c>
      <c r="B652" s="17" t="str">
        <f t="shared" si="1"/>
        <v>Saturday</v>
      </c>
      <c r="C652" s="17" t="str">
        <f>IF(D652="","",VLOOKUP(D652,Menu!$A$2:$B$105,2,0))</f>
        <v>Pizza</v>
      </c>
      <c r="D652" s="17" t="s">
        <v>11</v>
      </c>
      <c r="E652" s="17" t="s">
        <v>2</v>
      </c>
      <c r="F652" s="17">
        <v>1.0</v>
      </c>
      <c r="G652" s="17">
        <f t="array" ref="G652">IF(OR(D652="",E652=""),"",IFERROR(CHOOSE(MATCH(E652,{"S","M","L","-"},0),VLOOKUP(D652,Menu!$A$2:$F$105,3,0),VLOOKUP(D652,Menu!$A$2:$F$105,4,0),VLOOKUP(D652,Menu!$A$2:$F$105,5,0),VLOOKUP(D652,Menu!$A$2:$F$105,6,0)),"N/A"))</f>
        <v>69</v>
      </c>
      <c r="H652" s="17">
        <f t="shared" si="2"/>
        <v>69</v>
      </c>
      <c r="I652" s="17">
        <f t="shared" si="4"/>
        <v>486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6">
        <v>45262.0</v>
      </c>
      <c r="B653" s="17" t="str">
        <f t="shared" si="1"/>
        <v>Saturday</v>
      </c>
      <c r="C653" s="17" t="str">
        <f>IF(D653="","",VLOOKUP(D653,Menu!$A$2:$B$105,2,0))</f>
        <v>Pizza</v>
      </c>
      <c r="D653" s="17" t="s">
        <v>6</v>
      </c>
      <c r="E653" s="17" t="s">
        <v>2</v>
      </c>
      <c r="F653" s="17">
        <v>2.0</v>
      </c>
      <c r="G653" s="17">
        <f t="array" ref="G653">IF(OR(D653="",E653=""),"",IFERROR(CHOOSE(MATCH(E653,{"S","M","L","-"},0),VLOOKUP(D653,Menu!$A$2:$F$105,3,0),VLOOKUP(D653,Menu!$A$2:$F$105,4,0),VLOOKUP(D653,Menu!$A$2:$F$105,5,0),VLOOKUP(D653,Menu!$A$2:$F$105,6,0)),"N/A"))</f>
        <v>49</v>
      </c>
      <c r="H653" s="17">
        <f t="shared" si="2"/>
        <v>98</v>
      </c>
      <c r="I653" s="17">
        <f t="shared" si="4"/>
        <v>486</v>
      </c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6">
        <v>45262.0</v>
      </c>
      <c r="B654" s="17" t="str">
        <f t="shared" si="1"/>
        <v>Saturday</v>
      </c>
      <c r="C654" s="17" t="str">
        <f>IF(D654="","",VLOOKUP(D654,Menu!$A$2:$B$105,2,0))</f>
        <v>Pizza</v>
      </c>
      <c r="D654" s="17" t="s">
        <v>18</v>
      </c>
      <c r="E654" s="17" t="s">
        <v>3</v>
      </c>
      <c r="F654" s="17">
        <v>1.0</v>
      </c>
      <c r="G654" s="17">
        <f t="array" ref="G654">IF(OR(D654="",E654=""),"",IFERROR(CHOOSE(MATCH(E654,{"S","M","L","-"},0),VLOOKUP(D654,Menu!$A$2:$F$105,3,0),VLOOKUP(D654,Menu!$A$2:$F$105,4,0),VLOOKUP(D654,Menu!$A$2:$F$105,5,0),VLOOKUP(D654,Menu!$A$2:$F$105,6,0)),"N/A"))</f>
        <v>199</v>
      </c>
      <c r="H654" s="17">
        <f t="shared" si="2"/>
        <v>199</v>
      </c>
      <c r="I654" s="17">
        <f t="shared" si="4"/>
        <v>486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6">
        <v>45262.0</v>
      </c>
      <c r="B655" s="17" t="str">
        <f t="shared" si="1"/>
        <v>Saturday</v>
      </c>
      <c r="C655" s="17" t="str">
        <f>IF(D655="","",VLOOKUP(D655,Menu!$A$2:$B$105,2,0))</f>
        <v>Shake</v>
      </c>
      <c r="D655" s="17" t="s">
        <v>45</v>
      </c>
      <c r="E655" s="17" t="s">
        <v>5</v>
      </c>
      <c r="F655" s="17">
        <v>1.0</v>
      </c>
      <c r="G655" s="17">
        <f t="array" ref="G655">IF(OR(D655="",E655=""),"",IFERROR(CHOOSE(MATCH(E655,{"S","M","L","-"},0),VLOOKUP(D655,Menu!$A$2:$F$105,3,0),VLOOKUP(D655,Menu!$A$2:$F$105,4,0),VLOOKUP(D655,Menu!$A$2:$F$105,5,0),VLOOKUP(D655,Menu!$A$2:$F$105,6,0)),"N/A"))</f>
        <v>50</v>
      </c>
      <c r="H655" s="17">
        <f t="shared" si="2"/>
        <v>50</v>
      </c>
      <c r="I655" s="17">
        <f t="shared" si="4"/>
        <v>486</v>
      </c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6">
        <v>45262.0</v>
      </c>
      <c r="B656" s="17" t="str">
        <f t="shared" si="1"/>
        <v>Saturday</v>
      </c>
      <c r="C656" s="17" t="str">
        <f>IF(D656="","",VLOOKUP(D656,Menu!$A$2:$B$105,2,0))</f>
        <v>Shake</v>
      </c>
      <c r="D656" s="17" t="s">
        <v>38</v>
      </c>
      <c r="E656" s="17" t="s">
        <v>5</v>
      </c>
      <c r="F656" s="17">
        <v>1.0</v>
      </c>
      <c r="G656" s="17">
        <f t="array" ref="G656">IF(OR(D656="",E656=""),"",IFERROR(CHOOSE(MATCH(E656,{"S","M","L","-"},0),VLOOKUP(D656,Menu!$A$2:$F$105,3,0),VLOOKUP(D656,Menu!$A$2:$F$105,4,0),VLOOKUP(D656,Menu!$A$2:$F$105,5,0),VLOOKUP(D656,Menu!$A$2:$F$105,6,0)),"N/A"))</f>
        <v>70</v>
      </c>
      <c r="H656" s="17">
        <f t="shared" si="2"/>
        <v>70</v>
      </c>
      <c r="I656" s="17">
        <f t="shared" si="4"/>
        <v>486</v>
      </c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8">
        <v>45263.0</v>
      </c>
      <c r="B657" s="19" t="str">
        <f t="shared" si="1"/>
        <v>Sunday</v>
      </c>
      <c r="C657" s="19" t="str">
        <f>IF(D657="","",VLOOKUP(D657,Menu!$A$2:$B$105,2,0))</f>
        <v>Shake</v>
      </c>
      <c r="D657" s="19" t="s">
        <v>38</v>
      </c>
      <c r="E657" s="19" t="s">
        <v>5</v>
      </c>
      <c r="F657" s="19">
        <v>6.0</v>
      </c>
      <c r="G657" s="19">
        <f t="array" ref="G657">IF(OR(D657="",E657=""),"",IFERROR(CHOOSE(MATCH(E657,{"S","M","L","-"},0),VLOOKUP(D657,Menu!$A$2:$F$105,3,0),VLOOKUP(D657,Menu!$A$2:$F$105,4,0),VLOOKUP(D657,Menu!$A$2:$F$105,5,0),VLOOKUP(D657,Menu!$A$2:$F$105,6,0)),"N/A"))</f>
        <v>70</v>
      </c>
      <c r="H657" s="19">
        <f t="shared" si="2"/>
        <v>420</v>
      </c>
      <c r="I657" s="19">
        <f t="shared" si="4"/>
        <v>1622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8">
        <v>45263.0</v>
      </c>
      <c r="B658" s="19" t="str">
        <f t="shared" si="1"/>
        <v>Sunday</v>
      </c>
      <c r="C658" s="19" t="str">
        <f>IF(D658="","",VLOOKUP(D658,Menu!$A$2:$B$105,2,0))</f>
        <v>Burger</v>
      </c>
      <c r="D658" s="19" t="s">
        <v>27</v>
      </c>
      <c r="E658" s="19" t="s">
        <v>5</v>
      </c>
      <c r="F658" s="19">
        <v>3.0</v>
      </c>
      <c r="G658" s="19">
        <f t="array" ref="G658">IF(OR(D658="",E658=""),"",IFERROR(CHOOSE(MATCH(E658,{"S","M","L","-"},0),VLOOKUP(D658,Menu!$A$2:$F$105,3,0),VLOOKUP(D658,Menu!$A$2:$F$105,4,0),VLOOKUP(D658,Menu!$A$2:$F$105,5,0),VLOOKUP(D658,Menu!$A$2:$F$105,6,0)),"N/A"))</f>
        <v>39</v>
      </c>
      <c r="H658" s="19">
        <f t="shared" si="2"/>
        <v>117</v>
      </c>
      <c r="I658" s="19">
        <f t="shared" si="4"/>
        <v>1622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8">
        <v>45263.0</v>
      </c>
      <c r="B659" s="19" t="str">
        <f t="shared" si="1"/>
        <v>Sunday</v>
      </c>
      <c r="C659" s="19" t="str">
        <f>IF(D659="","",VLOOKUP(D659,Menu!$A$2:$B$105,2,0))</f>
        <v>Pizza</v>
      </c>
      <c r="D659" s="19" t="s">
        <v>15</v>
      </c>
      <c r="E659" s="19" t="s">
        <v>2</v>
      </c>
      <c r="F659" s="19">
        <v>2.0</v>
      </c>
      <c r="G659" s="19">
        <f t="array" ref="G659">IF(OR(D659="",E659=""),"",IFERROR(CHOOSE(MATCH(E659,{"S","M","L","-"},0),VLOOKUP(D659,Menu!$A$2:$F$105,3,0),VLOOKUP(D659,Menu!$A$2:$F$105,4,0),VLOOKUP(D659,Menu!$A$2:$F$105,5,0),VLOOKUP(D659,Menu!$A$2:$F$105,6,0)),"N/A"))</f>
        <v>99</v>
      </c>
      <c r="H659" s="19">
        <f t="shared" si="2"/>
        <v>198</v>
      </c>
      <c r="I659" s="19">
        <f t="shared" si="4"/>
        <v>1622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8">
        <v>45263.0</v>
      </c>
      <c r="B660" s="19" t="str">
        <f t="shared" si="1"/>
        <v>Sunday</v>
      </c>
      <c r="C660" s="19" t="str">
        <f>IF(D660="","",VLOOKUP(D660,Menu!$A$2:$B$105,2,0))</f>
        <v>Pizza</v>
      </c>
      <c r="D660" s="19" t="s">
        <v>20</v>
      </c>
      <c r="E660" s="19" t="s">
        <v>3</v>
      </c>
      <c r="F660" s="19">
        <v>1.0</v>
      </c>
      <c r="G660" s="19">
        <f t="array" ref="G660">IF(OR(D660="",E660=""),"",IFERROR(CHOOSE(MATCH(E660,{"S","M","L","-"},0),VLOOKUP(D660,Menu!$A$2:$F$105,3,0),VLOOKUP(D660,Menu!$A$2:$F$105,4,0),VLOOKUP(D660,Menu!$A$2:$F$105,5,0),VLOOKUP(D660,Menu!$A$2:$F$105,6,0)),"N/A"))</f>
        <v>199</v>
      </c>
      <c r="H660" s="19">
        <f t="shared" si="2"/>
        <v>199</v>
      </c>
      <c r="I660" s="19">
        <f t="shared" si="4"/>
        <v>1622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8">
        <v>45263.0</v>
      </c>
      <c r="B661" s="19" t="str">
        <f t="shared" si="1"/>
        <v>Sunday</v>
      </c>
      <c r="C661" s="19" t="str">
        <f>IF(D661="","",VLOOKUP(D661,Menu!$A$2:$B$105,2,0))</f>
        <v>Pizza</v>
      </c>
      <c r="D661" s="19" t="s">
        <v>23</v>
      </c>
      <c r="E661" s="19" t="s">
        <v>3</v>
      </c>
      <c r="F661" s="19">
        <v>2.0</v>
      </c>
      <c r="G661" s="19">
        <f t="array" ref="G661">IF(OR(D661="",E661=""),"",IFERROR(CHOOSE(MATCH(E661,{"S","M","L","-"},0),VLOOKUP(D661,Menu!$A$2:$F$105,3,0),VLOOKUP(D661,Menu!$A$2:$F$105,4,0),VLOOKUP(D661,Menu!$A$2:$F$105,5,0),VLOOKUP(D661,Menu!$A$2:$F$105,6,0)),"N/A"))</f>
        <v>230</v>
      </c>
      <c r="H661" s="19">
        <f t="shared" si="2"/>
        <v>460</v>
      </c>
      <c r="I661" s="19">
        <f t="shared" si="4"/>
        <v>1622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8">
        <v>45263.0</v>
      </c>
      <c r="B662" s="19" t="str">
        <f t="shared" si="1"/>
        <v>Sunday</v>
      </c>
      <c r="C662" s="19" t="str">
        <f>IF(D662="","",VLOOKUP(D662,Menu!$A$2:$B$105,2,0))</f>
        <v>Pizza</v>
      </c>
      <c r="D662" s="19" t="s">
        <v>23</v>
      </c>
      <c r="E662" s="19" t="s">
        <v>2</v>
      </c>
      <c r="F662" s="19">
        <v>1.0</v>
      </c>
      <c r="G662" s="19">
        <f t="array" ref="G662">IF(OR(D662="",E662=""),"",IFERROR(CHOOSE(MATCH(E662,{"S","M","L","-"},0),VLOOKUP(D662,Menu!$A$2:$F$105,3,0),VLOOKUP(D662,Menu!$A$2:$F$105,4,0),VLOOKUP(D662,Menu!$A$2:$F$105,5,0),VLOOKUP(D662,Menu!$A$2:$F$105,6,0)),"N/A"))</f>
        <v>129</v>
      </c>
      <c r="H662" s="19">
        <f t="shared" si="2"/>
        <v>129</v>
      </c>
      <c r="I662" s="19">
        <f t="shared" si="4"/>
        <v>1622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8">
        <v>45263.0</v>
      </c>
      <c r="B663" s="19" t="str">
        <f t="shared" si="1"/>
        <v>Sunday</v>
      </c>
      <c r="C663" s="19" t="str">
        <f>IF(D663="","",VLOOKUP(D663,Menu!$A$2:$B$105,2,0))</f>
        <v>Pizza</v>
      </c>
      <c r="D663" s="19" t="s">
        <v>6</v>
      </c>
      <c r="E663" s="19" t="s">
        <v>2</v>
      </c>
      <c r="F663" s="19">
        <v>1.0</v>
      </c>
      <c r="G663" s="19">
        <f t="array" ref="G663">IF(OR(D663="",E663=""),"",IFERROR(CHOOSE(MATCH(E663,{"S","M","L","-"},0),VLOOKUP(D663,Menu!$A$2:$F$105,3,0),VLOOKUP(D663,Menu!$A$2:$F$105,4,0),VLOOKUP(D663,Menu!$A$2:$F$105,5,0),VLOOKUP(D663,Menu!$A$2:$F$105,6,0)),"N/A"))</f>
        <v>49</v>
      </c>
      <c r="H663" s="19">
        <f t="shared" si="2"/>
        <v>49</v>
      </c>
      <c r="I663" s="19">
        <f t="shared" si="4"/>
        <v>1622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8">
        <v>45263.0</v>
      </c>
      <c r="B664" s="19" t="str">
        <f t="shared" si="1"/>
        <v>Sunday</v>
      </c>
      <c r="C664" s="19" t="str">
        <f>IF(D664="","",VLOOKUP(D664,Menu!$A$2:$B$105,2,0))</f>
        <v>Shake</v>
      </c>
      <c r="D664" s="19" t="s">
        <v>46</v>
      </c>
      <c r="E664" s="19" t="s">
        <v>5</v>
      </c>
      <c r="F664" s="19">
        <v>1.0</v>
      </c>
      <c r="G664" s="19">
        <f t="array" ref="G664">IF(OR(D664="",E664=""),"",IFERROR(CHOOSE(MATCH(E664,{"S","M","L","-"},0),VLOOKUP(D664,Menu!$A$2:$F$105,3,0),VLOOKUP(D664,Menu!$A$2:$F$105,4,0),VLOOKUP(D664,Menu!$A$2:$F$105,5,0),VLOOKUP(D664,Menu!$A$2:$F$105,6,0)),"N/A"))</f>
        <v>50</v>
      </c>
      <c r="H664" s="19">
        <f t="shared" si="2"/>
        <v>50</v>
      </c>
      <c r="I664" s="19">
        <f t="shared" si="4"/>
        <v>1622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6">
        <v>45264.0</v>
      </c>
      <c r="B665" s="17" t="str">
        <f t="shared" si="1"/>
        <v>Monday</v>
      </c>
      <c r="C665" s="17" t="str">
        <f>IF(D665="","",VLOOKUP(D665,Menu!$A$2:$B$105,2,0))</f>
        <v>Pizza</v>
      </c>
      <c r="D665" s="17" t="s">
        <v>15</v>
      </c>
      <c r="E665" s="17" t="s">
        <v>4</v>
      </c>
      <c r="F665" s="17">
        <v>2.0</v>
      </c>
      <c r="G665" s="17">
        <f t="array" ref="G665">IF(OR(D665="",E665=""),"",IFERROR(CHOOSE(MATCH(E665,{"S","M","L","-"},0),VLOOKUP(D665,Menu!$A$2:$F$105,3,0),VLOOKUP(D665,Menu!$A$2:$F$105,4,0),VLOOKUP(D665,Menu!$A$2:$F$105,5,0),VLOOKUP(D665,Menu!$A$2:$F$105,6,0)),"N/A"))</f>
        <v>249</v>
      </c>
      <c r="H665" s="17">
        <f t="shared" si="2"/>
        <v>498</v>
      </c>
      <c r="I665" s="17">
        <f t="shared" si="4"/>
        <v>666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6">
        <v>45264.0</v>
      </c>
      <c r="B666" s="17" t="str">
        <f t="shared" si="1"/>
        <v>Monday</v>
      </c>
      <c r="C666" s="17" t="str">
        <f>IF(D666="","",VLOOKUP(D666,Menu!$A$2:$B$105,2,0))</f>
        <v>Shake</v>
      </c>
      <c r="D666" s="17" t="s">
        <v>38</v>
      </c>
      <c r="E666" s="17" t="s">
        <v>5</v>
      </c>
      <c r="F666" s="17">
        <v>1.0</v>
      </c>
      <c r="G666" s="17">
        <f t="array" ref="G666">IF(OR(D666="",E666=""),"",IFERROR(CHOOSE(MATCH(E666,{"S","M","L","-"},0),VLOOKUP(D666,Menu!$A$2:$F$105,3,0),VLOOKUP(D666,Menu!$A$2:$F$105,4,0),VLOOKUP(D666,Menu!$A$2:$F$105,5,0),VLOOKUP(D666,Menu!$A$2:$F$105,6,0)),"N/A"))</f>
        <v>70</v>
      </c>
      <c r="H666" s="17">
        <f t="shared" si="2"/>
        <v>70</v>
      </c>
      <c r="I666" s="17">
        <f t="shared" si="4"/>
        <v>666</v>
      </c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6">
        <v>45264.0</v>
      </c>
      <c r="B667" s="17" t="str">
        <f t="shared" si="1"/>
        <v>Monday</v>
      </c>
      <c r="C667" s="17" t="str">
        <f>IF(D667="","",VLOOKUP(D667,Menu!$A$2:$B$105,2,0))</f>
        <v>Pizza</v>
      </c>
      <c r="D667" s="17" t="s">
        <v>6</v>
      </c>
      <c r="E667" s="17" t="s">
        <v>2</v>
      </c>
      <c r="F667" s="17">
        <v>2.0</v>
      </c>
      <c r="G667" s="17">
        <f t="array" ref="G667">IF(OR(D667="",E667=""),"",IFERROR(CHOOSE(MATCH(E667,{"S","M","L","-"},0),VLOOKUP(D667,Menu!$A$2:$F$105,3,0),VLOOKUP(D667,Menu!$A$2:$F$105,4,0),VLOOKUP(D667,Menu!$A$2:$F$105,5,0),VLOOKUP(D667,Menu!$A$2:$F$105,6,0)),"N/A"))</f>
        <v>49</v>
      </c>
      <c r="H667" s="17">
        <f t="shared" si="2"/>
        <v>98</v>
      </c>
      <c r="I667" s="17">
        <f t="shared" si="4"/>
        <v>666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8">
        <v>45265.0</v>
      </c>
      <c r="B668" s="19" t="str">
        <f t="shared" si="1"/>
        <v>Tuesday</v>
      </c>
      <c r="C668" s="19" t="str">
        <f>IF(D668="","",VLOOKUP(D668,Menu!$A$2:$B$105,2,0))</f>
        <v>Pizza</v>
      </c>
      <c r="D668" s="19" t="s">
        <v>19</v>
      </c>
      <c r="E668" s="19" t="s">
        <v>2</v>
      </c>
      <c r="F668" s="19">
        <v>1.0</v>
      </c>
      <c r="G668" s="19">
        <f t="array" ref="G668">IF(OR(D668="",E668=""),"",IFERROR(CHOOSE(MATCH(E668,{"S","M","L","-"},0),VLOOKUP(D668,Menu!$A$2:$F$105,3,0),VLOOKUP(D668,Menu!$A$2:$F$105,4,0),VLOOKUP(D668,Menu!$A$2:$F$105,5,0),VLOOKUP(D668,Menu!$A$2:$F$105,6,0)),"N/A"))</f>
        <v>109</v>
      </c>
      <c r="H668" s="19">
        <f t="shared" si="2"/>
        <v>109</v>
      </c>
      <c r="I668" s="19">
        <f t="shared" si="4"/>
        <v>540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8">
        <v>45265.0</v>
      </c>
      <c r="B669" s="19" t="str">
        <f t="shared" si="1"/>
        <v>Tuesday</v>
      </c>
      <c r="C669" s="19" t="str">
        <f>IF(D669="","",VLOOKUP(D669,Menu!$A$2:$B$105,2,0))</f>
        <v>Burger</v>
      </c>
      <c r="D669" s="19" t="s">
        <v>27</v>
      </c>
      <c r="E669" s="19" t="s">
        <v>5</v>
      </c>
      <c r="F669" s="19">
        <v>5.0</v>
      </c>
      <c r="G669" s="19">
        <f t="array" ref="G669">IF(OR(D669="",E669=""),"",IFERROR(CHOOSE(MATCH(E669,{"S","M","L","-"},0),VLOOKUP(D669,Menu!$A$2:$F$105,3,0),VLOOKUP(D669,Menu!$A$2:$F$105,4,0),VLOOKUP(D669,Menu!$A$2:$F$105,5,0),VLOOKUP(D669,Menu!$A$2:$F$105,6,0)),"N/A"))</f>
        <v>39</v>
      </c>
      <c r="H669" s="19">
        <f t="shared" si="2"/>
        <v>195</v>
      </c>
      <c r="I669" s="19">
        <f t="shared" si="4"/>
        <v>540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8">
        <v>45265.0</v>
      </c>
      <c r="B670" s="19" t="str">
        <f t="shared" si="1"/>
        <v>Tuesday</v>
      </c>
      <c r="C670" s="19" t="str">
        <f>IF(D670="","",VLOOKUP(D670,Menu!$A$2:$B$105,2,0))</f>
        <v>Pizza</v>
      </c>
      <c r="D670" s="19" t="s">
        <v>6</v>
      </c>
      <c r="E670" s="19" t="s">
        <v>2</v>
      </c>
      <c r="F670" s="19">
        <v>2.0</v>
      </c>
      <c r="G670" s="19">
        <f t="array" ref="G670">IF(OR(D670="",E670=""),"",IFERROR(CHOOSE(MATCH(E670,{"S","M","L","-"},0),VLOOKUP(D670,Menu!$A$2:$F$105,3,0),VLOOKUP(D670,Menu!$A$2:$F$105,4,0),VLOOKUP(D670,Menu!$A$2:$F$105,5,0),VLOOKUP(D670,Menu!$A$2:$F$105,6,0)),"N/A"))</f>
        <v>49</v>
      </c>
      <c r="H670" s="19">
        <f t="shared" si="2"/>
        <v>98</v>
      </c>
      <c r="I670" s="19">
        <f t="shared" si="4"/>
        <v>540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8">
        <v>45265.0</v>
      </c>
      <c r="B671" s="19" t="str">
        <f t="shared" si="1"/>
        <v>Tuesday</v>
      </c>
      <c r="C671" s="19" t="str">
        <f>IF(D671="","",VLOOKUP(D671,Menu!$A$2:$B$105,2,0))</f>
        <v>Pizza</v>
      </c>
      <c r="D671" s="19" t="s">
        <v>11</v>
      </c>
      <c r="E671" s="19" t="s">
        <v>2</v>
      </c>
      <c r="F671" s="19">
        <v>2.0</v>
      </c>
      <c r="G671" s="19">
        <f t="array" ref="G671">IF(OR(D671="",E671=""),"",IFERROR(CHOOSE(MATCH(E671,{"S","M","L","-"},0),VLOOKUP(D671,Menu!$A$2:$F$105,3,0),VLOOKUP(D671,Menu!$A$2:$F$105,4,0),VLOOKUP(D671,Menu!$A$2:$F$105,5,0),VLOOKUP(D671,Menu!$A$2:$F$105,6,0)),"N/A"))</f>
        <v>69</v>
      </c>
      <c r="H671" s="19">
        <f t="shared" si="2"/>
        <v>138</v>
      </c>
      <c r="I671" s="19">
        <f t="shared" si="4"/>
        <v>540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6">
        <v>45266.0</v>
      </c>
      <c r="B672" s="17" t="str">
        <f t="shared" si="1"/>
        <v>Wednesday</v>
      </c>
      <c r="C672" s="17" t="str">
        <f>IF(D672="","",VLOOKUP(D672,Menu!$A$2:$B$105,2,0))</f>
        <v>Bread</v>
      </c>
      <c r="D672" s="17" t="s">
        <v>37</v>
      </c>
      <c r="E672" s="17" t="s">
        <v>5</v>
      </c>
      <c r="F672" s="17">
        <v>2.0</v>
      </c>
      <c r="G672" s="17">
        <f t="array" ref="G672">IF(OR(D672="",E672=""),"",IFERROR(CHOOSE(MATCH(E672,{"S","M","L","-"},0),VLOOKUP(D672,Menu!$A$2:$F$105,3,0),VLOOKUP(D672,Menu!$A$2:$F$105,4,0),VLOOKUP(D672,Menu!$A$2:$F$105,5,0),VLOOKUP(D672,Menu!$A$2:$F$105,6,0)),"N/A"))</f>
        <v>89</v>
      </c>
      <c r="H672" s="17">
        <f t="shared" si="2"/>
        <v>178</v>
      </c>
      <c r="I672" s="17">
        <f t="shared" si="4"/>
        <v>831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6">
        <v>45266.0</v>
      </c>
      <c r="B673" s="17" t="str">
        <f t="shared" si="1"/>
        <v>Wednesday</v>
      </c>
      <c r="C673" s="17" t="str">
        <f>IF(D673="","",VLOOKUP(D673,Menu!$A$2:$B$105,2,0))</f>
        <v>Burger</v>
      </c>
      <c r="D673" s="17" t="s">
        <v>29</v>
      </c>
      <c r="E673" s="17" t="s">
        <v>5</v>
      </c>
      <c r="F673" s="17">
        <v>2.0</v>
      </c>
      <c r="G673" s="17">
        <f t="array" ref="G673">IF(OR(D673="",E673=""),"",IFERROR(CHOOSE(MATCH(E673,{"S","M","L","-"},0),VLOOKUP(D673,Menu!$A$2:$F$105,3,0),VLOOKUP(D673,Menu!$A$2:$F$105,4,0),VLOOKUP(D673,Menu!$A$2:$F$105,5,0),VLOOKUP(D673,Menu!$A$2:$F$105,6,0)),"N/A"))</f>
        <v>59</v>
      </c>
      <c r="H673" s="17">
        <f t="shared" si="2"/>
        <v>118</v>
      </c>
      <c r="I673" s="17">
        <f t="shared" si="4"/>
        <v>831</v>
      </c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6">
        <v>45266.0</v>
      </c>
      <c r="B674" s="17" t="str">
        <f t="shared" si="1"/>
        <v>Wednesday</v>
      </c>
      <c r="C674" s="17" t="str">
        <f>IF(D674="","",VLOOKUP(D674,Menu!$A$2:$B$105,2,0))</f>
        <v>Bread</v>
      </c>
      <c r="D674" s="17" t="s">
        <v>35</v>
      </c>
      <c r="E674" s="17" t="s">
        <v>5</v>
      </c>
      <c r="F674" s="17">
        <v>2.0</v>
      </c>
      <c r="G674" s="17">
        <f t="array" ref="G674">IF(OR(D674="",E674=""),"",IFERROR(CHOOSE(MATCH(E674,{"S","M","L","-"},0),VLOOKUP(D674,Menu!$A$2:$F$105,3,0),VLOOKUP(D674,Menu!$A$2:$F$105,4,0),VLOOKUP(D674,Menu!$A$2:$F$105,5,0),VLOOKUP(D674,Menu!$A$2:$F$105,6,0)),"N/A"))</f>
        <v>49</v>
      </c>
      <c r="H674" s="17">
        <f t="shared" si="2"/>
        <v>98</v>
      </c>
      <c r="I674" s="17">
        <f t="shared" si="4"/>
        <v>831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6">
        <v>45266.0</v>
      </c>
      <c r="B675" s="17" t="str">
        <f t="shared" si="1"/>
        <v>Wednesday</v>
      </c>
      <c r="C675" s="17" t="str">
        <f>IF(D675="","",VLOOKUP(D675,Menu!$A$2:$B$105,2,0))</f>
        <v>Shake</v>
      </c>
      <c r="D675" s="17" t="s">
        <v>38</v>
      </c>
      <c r="E675" s="17" t="s">
        <v>5</v>
      </c>
      <c r="F675" s="17">
        <v>1.0</v>
      </c>
      <c r="G675" s="17">
        <f t="array" ref="G675">IF(OR(D675="",E675=""),"",IFERROR(CHOOSE(MATCH(E675,{"S","M","L","-"},0),VLOOKUP(D675,Menu!$A$2:$F$105,3,0),VLOOKUP(D675,Menu!$A$2:$F$105,4,0),VLOOKUP(D675,Menu!$A$2:$F$105,5,0),VLOOKUP(D675,Menu!$A$2:$F$105,6,0)),"N/A"))</f>
        <v>70</v>
      </c>
      <c r="H675" s="17">
        <f t="shared" si="2"/>
        <v>70</v>
      </c>
      <c r="I675" s="17">
        <f t="shared" si="4"/>
        <v>831</v>
      </c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6">
        <v>45266.0</v>
      </c>
      <c r="B676" s="17" t="str">
        <f t="shared" si="1"/>
        <v>Wednesday</v>
      </c>
      <c r="C676" s="17" t="str">
        <f>IF(D676="","",VLOOKUP(D676,Menu!$A$2:$B$105,2,0))</f>
        <v>Burger</v>
      </c>
      <c r="D676" s="17" t="s">
        <v>27</v>
      </c>
      <c r="E676" s="17" t="s">
        <v>5</v>
      </c>
      <c r="F676" s="17">
        <v>1.0</v>
      </c>
      <c r="G676" s="17">
        <f t="array" ref="G676">IF(OR(D676="",E676=""),"",IFERROR(CHOOSE(MATCH(E676,{"S","M","L","-"},0),VLOOKUP(D676,Menu!$A$2:$F$105,3,0),VLOOKUP(D676,Menu!$A$2:$F$105,4,0),VLOOKUP(D676,Menu!$A$2:$F$105,5,0),VLOOKUP(D676,Menu!$A$2:$F$105,6,0)),"N/A"))</f>
        <v>39</v>
      </c>
      <c r="H676" s="17">
        <f t="shared" si="2"/>
        <v>39</v>
      </c>
      <c r="I676" s="17">
        <f t="shared" si="4"/>
        <v>831</v>
      </c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6">
        <v>45266.0</v>
      </c>
      <c r="B677" s="17" t="str">
        <f t="shared" si="1"/>
        <v>Wednesday</v>
      </c>
      <c r="C677" s="17" t="str">
        <f>IF(D677="","",VLOOKUP(D677,Menu!$A$2:$B$105,2,0))</f>
        <v>Pizza</v>
      </c>
      <c r="D677" s="17" t="s">
        <v>8</v>
      </c>
      <c r="E677" s="17" t="s">
        <v>3</v>
      </c>
      <c r="F677" s="17">
        <v>2.0</v>
      </c>
      <c r="G677" s="17">
        <f t="array" ref="G677">IF(OR(D677="",E677=""),"",IFERROR(CHOOSE(MATCH(E677,{"S","M","L","-"},0),VLOOKUP(D677,Menu!$A$2:$F$105,3,0),VLOOKUP(D677,Menu!$A$2:$F$105,4,0),VLOOKUP(D677,Menu!$A$2:$F$105,5,0),VLOOKUP(D677,Menu!$A$2:$F$105,6,0)),"N/A"))</f>
        <v>109</v>
      </c>
      <c r="H677" s="17">
        <f t="shared" si="2"/>
        <v>218</v>
      </c>
      <c r="I677" s="17">
        <f t="shared" si="4"/>
        <v>831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6">
        <v>45266.0</v>
      </c>
      <c r="B678" s="17" t="str">
        <f t="shared" si="1"/>
        <v>Wednesday</v>
      </c>
      <c r="C678" s="17" t="str">
        <f>IF(D678="","",VLOOKUP(D678,Menu!$A$2:$B$105,2,0))</f>
        <v>Dessert</v>
      </c>
      <c r="D678" s="17" t="s">
        <v>56</v>
      </c>
      <c r="E678" s="17" t="s">
        <v>5</v>
      </c>
      <c r="F678" s="17">
        <v>1.0</v>
      </c>
      <c r="G678" s="17">
        <f t="array" ref="G678">IF(OR(D678="",E678=""),"",IFERROR(CHOOSE(MATCH(E678,{"S","M","L","-"},0),VLOOKUP(D678,Menu!$A$2:$F$105,3,0),VLOOKUP(D678,Menu!$A$2:$F$105,4,0),VLOOKUP(D678,Menu!$A$2:$F$105,5,0),VLOOKUP(D678,Menu!$A$2:$F$105,6,0)),"N/A"))</f>
        <v>110</v>
      </c>
      <c r="H678" s="17">
        <f t="shared" si="2"/>
        <v>110</v>
      </c>
      <c r="I678" s="17">
        <f t="shared" si="4"/>
        <v>831</v>
      </c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8">
        <v>45267.0</v>
      </c>
      <c r="B679" s="19" t="str">
        <f t="shared" si="1"/>
        <v>Thursday</v>
      </c>
      <c r="C679" s="19" t="str">
        <f>IF(D679="","",VLOOKUP(D679,Menu!$A$2:$B$105,2,0))</f>
        <v>Pizza</v>
      </c>
      <c r="D679" s="19" t="s">
        <v>23</v>
      </c>
      <c r="E679" s="19" t="s">
        <v>2</v>
      </c>
      <c r="F679" s="19">
        <v>1.0</v>
      </c>
      <c r="G679" s="19">
        <f t="array" ref="G679">IF(OR(D679="",E679=""),"",IFERROR(CHOOSE(MATCH(E679,{"S","M","L","-"},0),VLOOKUP(D679,Menu!$A$2:$F$105,3,0),VLOOKUP(D679,Menu!$A$2:$F$105,4,0),VLOOKUP(D679,Menu!$A$2:$F$105,5,0),VLOOKUP(D679,Menu!$A$2:$F$105,6,0)),"N/A"))</f>
        <v>129</v>
      </c>
      <c r="H679" s="19">
        <f t="shared" si="2"/>
        <v>129</v>
      </c>
      <c r="I679" s="19">
        <f t="shared" si="4"/>
        <v>1139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8">
        <v>45267.0</v>
      </c>
      <c r="B680" s="19" t="str">
        <f t="shared" si="1"/>
        <v>Thursday</v>
      </c>
      <c r="C680" s="19" t="str">
        <f>IF(D680="","",VLOOKUP(D680,Menu!$A$2:$B$105,2,0))</f>
        <v>Dessert</v>
      </c>
      <c r="D680" s="19" t="s">
        <v>53</v>
      </c>
      <c r="E680" s="19" t="s">
        <v>5</v>
      </c>
      <c r="F680" s="19">
        <v>1.0</v>
      </c>
      <c r="G680" s="19">
        <f t="array" ref="G680">IF(OR(D680="",E680=""),"",IFERROR(CHOOSE(MATCH(E680,{"S","M","L","-"},0),VLOOKUP(D680,Menu!$A$2:$F$105,3,0),VLOOKUP(D680,Menu!$A$2:$F$105,4,0),VLOOKUP(D680,Menu!$A$2:$F$105,5,0),VLOOKUP(D680,Menu!$A$2:$F$105,6,0)),"N/A"))</f>
        <v>30</v>
      </c>
      <c r="H680" s="19">
        <f t="shared" si="2"/>
        <v>30</v>
      </c>
      <c r="I680" s="19">
        <f t="shared" si="4"/>
        <v>1139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8">
        <v>45267.0</v>
      </c>
      <c r="B681" s="19" t="str">
        <f t="shared" si="1"/>
        <v>Thursday</v>
      </c>
      <c r="C681" s="19" t="str">
        <f>IF(D681="","",VLOOKUP(D681,Menu!$A$2:$B$105,2,0))</f>
        <v>Shake</v>
      </c>
      <c r="D681" s="19" t="s">
        <v>41</v>
      </c>
      <c r="E681" s="19" t="s">
        <v>5</v>
      </c>
      <c r="F681" s="19">
        <v>1.0</v>
      </c>
      <c r="G681" s="19">
        <f t="array" ref="G681">IF(OR(D681="",E681=""),"",IFERROR(CHOOSE(MATCH(E681,{"S","M","L","-"},0),VLOOKUP(D681,Menu!$A$2:$F$105,3,0),VLOOKUP(D681,Menu!$A$2:$F$105,4,0),VLOOKUP(D681,Menu!$A$2:$F$105,5,0),VLOOKUP(D681,Menu!$A$2:$F$105,6,0)),"N/A"))</f>
        <v>70</v>
      </c>
      <c r="H681" s="19">
        <f t="shared" si="2"/>
        <v>70</v>
      </c>
      <c r="I681" s="19">
        <f t="shared" si="4"/>
        <v>1139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8">
        <v>45267.0</v>
      </c>
      <c r="B682" s="19" t="str">
        <f t="shared" si="1"/>
        <v>Thursday</v>
      </c>
      <c r="C682" s="19" t="str">
        <f>IF(D682="","",VLOOKUP(D682,Menu!$A$2:$B$105,2,0))</f>
        <v>Pizza</v>
      </c>
      <c r="D682" s="19" t="s">
        <v>11</v>
      </c>
      <c r="E682" s="19" t="s">
        <v>3</v>
      </c>
      <c r="F682" s="19">
        <v>2.0</v>
      </c>
      <c r="G682" s="19">
        <f t="array" ref="G682">IF(OR(D682="",E682=""),"",IFERROR(CHOOSE(MATCH(E682,{"S","M","L","-"},0),VLOOKUP(D682,Menu!$A$2:$F$105,3,0),VLOOKUP(D682,Menu!$A$2:$F$105,4,0),VLOOKUP(D682,Menu!$A$2:$F$105,5,0),VLOOKUP(D682,Menu!$A$2:$F$105,6,0)),"N/A"))</f>
        <v>109</v>
      </c>
      <c r="H682" s="19">
        <f t="shared" si="2"/>
        <v>218</v>
      </c>
      <c r="I682" s="19">
        <f t="shared" si="4"/>
        <v>1139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8">
        <v>45267.0</v>
      </c>
      <c r="B683" s="19" t="str">
        <f t="shared" si="1"/>
        <v>Thursday</v>
      </c>
      <c r="C683" s="19" t="str">
        <f>IF(D683="","",VLOOKUP(D683,Menu!$A$2:$B$105,2,0))</f>
        <v>Pizza</v>
      </c>
      <c r="D683" s="19" t="s">
        <v>18</v>
      </c>
      <c r="E683" s="19" t="s">
        <v>4</v>
      </c>
      <c r="F683" s="19">
        <v>1.0</v>
      </c>
      <c r="G683" s="19">
        <f t="array" ref="G683">IF(OR(D683="",E683=""),"",IFERROR(CHOOSE(MATCH(E683,{"S","M","L","-"},0),VLOOKUP(D683,Menu!$A$2:$F$105,3,0),VLOOKUP(D683,Menu!$A$2:$F$105,4,0),VLOOKUP(D683,Menu!$A$2:$F$105,5,0),VLOOKUP(D683,Menu!$A$2:$F$105,6,0)),"N/A"))</f>
        <v>299</v>
      </c>
      <c r="H683" s="19">
        <f t="shared" si="2"/>
        <v>299</v>
      </c>
      <c r="I683" s="19">
        <f t="shared" si="4"/>
        <v>1139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8">
        <v>45267.0</v>
      </c>
      <c r="B684" s="19" t="str">
        <f t="shared" si="1"/>
        <v>Thursday</v>
      </c>
      <c r="C684" s="19" t="str">
        <f>IF(D684="","",VLOOKUP(D684,Menu!$A$2:$B$105,2,0))</f>
        <v>Burger</v>
      </c>
      <c r="D684" s="19" t="s">
        <v>27</v>
      </c>
      <c r="E684" s="19" t="s">
        <v>5</v>
      </c>
      <c r="F684" s="19">
        <v>6.0</v>
      </c>
      <c r="G684" s="19">
        <f t="array" ref="G684">IF(OR(D684="",E684=""),"",IFERROR(CHOOSE(MATCH(E684,{"S","M","L","-"},0),VLOOKUP(D684,Menu!$A$2:$F$105,3,0),VLOOKUP(D684,Menu!$A$2:$F$105,4,0),VLOOKUP(D684,Menu!$A$2:$F$105,5,0),VLOOKUP(D684,Menu!$A$2:$F$105,6,0)),"N/A"))</f>
        <v>39</v>
      </c>
      <c r="H684" s="19">
        <f t="shared" si="2"/>
        <v>234</v>
      </c>
      <c r="I684" s="19">
        <f t="shared" si="4"/>
        <v>1139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8">
        <v>45267.0</v>
      </c>
      <c r="B685" s="19" t="str">
        <f t="shared" si="1"/>
        <v>Thursday</v>
      </c>
      <c r="C685" s="19" t="str">
        <f>IF(D685="","",VLOOKUP(D685,Menu!$A$2:$B$105,2,0))</f>
        <v>Shake</v>
      </c>
      <c r="D685" s="19" t="s">
        <v>46</v>
      </c>
      <c r="E685" s="19" t="s">
        <v>5</v>
      </c>
      <c r="F685" s="19">
        <v>2.0</v>
      </c>
      <c r="G685" s="19">
        <f t="array" ref="G685">IF(OR(D685="",E685=""),"",IFERROR(CHOOSE(MATCH(E685,{"S","M","L","-"},0),VLOOKUP(D685,Menu!$A$2:$F$105,3,0),VLOOKUP(D685,Menu!$A$2:$F$105,4,0),VLOOKUP(D685,Menu!$A$2:$F$105,5,0),VLOOKUP(D685,Menu!$A$2:$F$105,6,0)),"N/A"))</f>
        <v>50</v>
      </c>
      <c r="H685" s="19">
        <f t="shared" si="2"/>
        <v>100</v>
      </c>
      <c r="I685" s="19">
        <f t="shared" si="4"/>
        <v>1139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8">
        <v>45267.0</v>
      </c>
      <c r="B686" s="19" t="str">
        <f t="shared" si="1"/>
        <v>Thursday</v>
      </c>
      <c r="C686" s="19" t="str">
        <f>IF(D686="","",VLOOKUP(D686,Menu!$A$2:$B$105,2,0))</f>
        <v>Burger</v>
      </c>
      <c r="D686" s="19" t="s">
        <v>29</v>
      </c>
      <c r="E686" s="19" t="s">
        <v>5</v>
      </c>
      <c r="F686" s="19">
        <v>1.0</v>
      </c>
      <c r="G686" s="19">
        <f t="array" ref="G686">IF(OR(D686="",E686=""),"",IFERROR(CHOOSE(MATCH(E686,{"S","M","L","-"},0),VLOOKUP(D686,Menu!$A$2:$F$105,3,0),VLOOKUP(D686,Menu!$A$2:$F$105,4,0),VLOOKUP(D686,Menu!$A$2:$F$105,5,0),VLOOKUP(D686,Menu!$A$2:$F$105,6,0)),"N/A"))</f>
        <v>59</v>
      </c>
      <c r="H686" s="19">
        <f t="shared" si="2"/>
        <v>59</v>
      </c>
      <c r="I686" s="19">
        <f t="shared" si="4"/>
        <v>1139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6">
        <v>45268.0</v>
      </c>
      <c r="B687" s="17" t="str">
        <f t="shared" si="1"/>
        <v>Friday</v>
      </c>
      <c r="C687" s="17" t="str">
        <f>IF(D687="","",VLOOKUP(D687,Menu!$A$2:$B$105,2,0))</f>
        <v>Pizza</v>
      </c>
      <c r="D687" s="17" t="s">
        <v>15</v>
      </c>
      <c r="E687" s="17" t="s">
        <v>4</v>
      </c>
      <c r="F687" s="17">
        <v>1.0</v>
      </c>
      <c r="G687" s="17">
        <f t="array" ref="G687">IF(OR(D687="",E687=""),"",IFERROR(CHOOSE(MATCH(E687,{"S","M","L","-"},0),VLOOKUP(D687,Menu!$A$2:$F$105,3,0),VLOOKUP(D687,Menu!$A$2:$F$105,4,0),VLOOKUP(D687,Menu!$A$2:$F$105,5,0),VLOOKUP(D687,Menu!$A$2:$F$105,6,0)),"N/A"))</f>
        <v>249</v>
      </c>
      <c r="H687" s="17">
        <f t="shared" si="2"/>
        <v>249</v>
      </c>
      <c r="I687" s="17">
        <f t="shared" si="4"/>
        <v>308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6">
        <v>45268.0</v>
      </c>
      <c r="B688" s="17" t="str">
        <f t="shared" si="1"/>
        <v>Friday</v>
      </c>
      <c r="C688" s="17" t="str">
        <f>IF(D688="","",VLOOKUP(D688,Menu!$A$2:$B$105,2,0))</f>
        <v>Pizza</v>
      </c>
      <c r="D688" s="17" t="s">
        <v>10</v>
      </c>
      <c r="E688" s="17" t="s">
        <v>2</v>
      </c>
      <c r="F688" s="17">
        <v>1.0</v>
      </c>
      <c r="G688" s="17">
        <f t="array" ref="G688">IF(OR(D688="",E688=""),"",IFERROR(CHOOSE(MATCH(E688,{"S","M","L","-"},0),VLOOKUP(D688,Menu!$A$2:$F$105,3,0),VLOOKUP(D688,Menu!$A$2:$F$105,4,0),VLOOKUP(D688,Menu!$A$2:$F$105,5,0),VLOOKUP(D688,Menu!$A$2:$F$105,6,0)),"N/A"))</f>
        <v>59</v>
      </c>
      <c r="H688" s="17">
        <f t="shared" si="2"/>
        <v>59</v>
      </c>
      <c r="I688" s="17">
        <f t="shared" si="4"/>
        <v>308</v>
      </c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8">
        <v>45269.0</v>
      </c>
      <c r="B689" s="19" t="str">
        <f t="shared" si="1"/>
        <v>Saturday</v>
      </c>
      <c r="C689" s="19" t="str">
        <f>IF(D689="","",VLOOKUP(D689,Menu!$A$2:$B$105,2,0))</f>
        <v>Pizza</v>
      </c>
      <c r="D689" s="19" t="s">
        <v>24</v>
      </c>
      <c r="E689" s="19" t="s">
        <v>2</v>
      </c>
      <c r="F689" s="19">
        <v>1.0</v>
      </c>
      <c r="G689" s="19">
        <f t="array" ref="G689">IF(OR(D689="",E689=""),"",IFERROR(CHOOSE(MATCH(E689,{"S","M","L","-"},0),VLOOKUP(D689,Menu!$A$2:$F$105,3,0),VLOOKUP(D689,Menu!$A$2:$F$105,4,0),VLOOKUP(D689,Menu!$A$2:$F$105,5,0),VLOOKUP(D689,Menu!$A$2:$F$105,6,0)),"N/A"))</f>
        <v>149</v>
      </c>
      <c r="H689" s="19">
        <f t="shared" si="2"/>
        <v>149</v>
      </c>
      <c r="I689" s="19">
        <f t="shared" si="4"/>
        <v>908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8">
        <v>45269.0</v>
      </c>
      <c r="B690" s="19" t="str">
        <f t="shared" si="1"/>
        <v>Saturday</v>
      </c>
      <c r="C690" s="19" t="str">
        <f>IF(D690="","",VLOOKUP(D690,Menu!$A$2:$B$105,2,0))</f>
        <v>Pizza</v>
      </c>
      <c r="D690" s="19" t="s">
        <v>11</v>
      </c>
      <c r="E690" s="19" t="s">
        <v>2</v>
      </c>
      <c r="F690" s="19">
        <v>1.0</v>
      </c>
      <c r="G690" s="19">
        <f t="array" ref="G690">IF(OR(D690="",E690=""),"",IFERROR(CHOOSE(MATCH(E690,{"S","M","L","-"},0),VLOOKUP(D690,Menu!$A$2:$F$105,3,0),VLOOKUP(D690,Menu!$A$2:$F$105,4,0),VLOOKUP(D690,Menu!$A$2:$F$105,5,0),VLOOKUP(D690,Menu!$A$2:$F$105,6,0)),"N/A"))</f>
        <v>69</v>
      </c>
      <c r="H690" s="19">
        <f t="shared" si="2"/>
        <v>69</v>
      </c>
      <c r="I690" s="19">
        <f t="shared" si="4"/>
        <v>908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8">
        <v>45269.0</v>
      </c>
      <c r="B691" s="19" t="str">
        <f t="shared" si="1"/>
        <v>Saturday</v>
      </c>
      <c r="C691" s="19" t="str">
        <f>IF(D691="","",VLOOKUP(D691,Menu!$A$2:$B$105,2,0))</f>
        <v>Burger</v>
      </c>
      <c r="D691" s="19" t="s">
        <v>27</v>
      </c>
      <c r="E691" s="19" t="s">
        <v>5</v>
      </c>
      <c r="F691" s="19">
        <v>4.0</v>
      </c>
      <c r="G691" s="19">
        <f t="array" ref="G691">IF(OR(D691="",E691=""),"",IFERROR(CHOOSE(MATCH(E691,{"S","M","L","-"},0),VLOOKUP(D691,Menu!$A$2:$F$105,3,0),VLOOKUP(D691,Menu!$A$2:$F$105,4,0),VLOOKUP(D691,Menu!$A$2:$F$105,5,0),VLOOKUP(D691,Menu!$A$2:$F$105,6,0)),"N/A"))</f>
        <v>39</v>
      </c>
      <c r="H691" s="19">
        <f t="shared" si="2"/>
        <v>156</v>
      </c>
      <c r="I691" s="19">
        <f t="shared" si="4"/>
        <v>908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8">
        <v>45269.0</v>
      </c>
      <c r="B692" s="19" t="str">
        <f t="shared" si="1"/>
        <v>Saturday</v>
      </c>
      <c r="C692" s="19" t="str">
        <f>IF(D692="","",VLOOKUP(D692,Menu!$A$2:$B$105,2,0))</f>
        <v>Pizza</v>
      </c>
      <c r="D692" s="19" t="s">
        <v>15</v>
      </c>
      <c r="E692" s="19" t="s">
        <v>2</v>
      </c>
      <c r="F692" s="19">
        <v>1.0</v>
      </c>
      <c r="G692" s="19">
        <f t="array" ref="G692">IF(OR(D692="",E692=""),"",IFERROR(CHOOSE(MATCH(E692,{"S","M","L","-"},0),VLOOKUP(D692,Menu!$A$2:$F$105,3,0),VLOOKUP(D692,Menu!$A$2:$F$105,4,0),VLOOKUP(D692,Menu!$A$2:$F$105,5,0),VLOOKUP(D692,Menu!$A$2:$F$105,6,0)),"N/A"))</f>
        <v>99</v>
      </c>
      <c r="H692" s="19">
        <f t="shared" si="2"/>
        <v>99</v>
      </c>
      <c r="I692" s="19">
        <f t="shared" si="4"/>
        <v>908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8">
        <v>45269.0</v>
      </c>
      <c r="B693" s="19" t="str">
        <f t="shared" si="1"/>
        <v>Saturday</v>
      </c>
      <c r="C693" s="19" t="str">
        <f>IF(D693="","",VLOOKUP(D693,Menu!$A$2:$B$105,2,0))</f>
        <v>Pizza</v>
      </c>
      <c r="D693" s="19" t="s">
        <v>15</v>
      </c>
      <c r="E693" s="19" t="s">
        <v>3</v>
      </c>
      <c r="F693" s="19">
        <v>1.0</v>
      </c>
      <c r="G693" s="19">
        <f t="array" ref="G693">IF(OR(D693="",E693=""),"",IFERROR(CHOOSE(MATCH(E693,{"S","M","L","-"},0),VLOOKUP(D693,Menu!$A$2:$F$105,3,0),VLOOKUP(D693,Menu!$A$2:$F$105,4,0),VLOOKUP(D693,Menu!$A$2:$F$105,5,0),VLOOKUP(D693,Menu!$A$2:$F$105,6,0)),"N/A"))</f>
        <v>149</v>
      </c>
      <c r="H693" s="19">
        <f t="shared" si="2"/>
        <v>149</v>
      </c>
      <c r="I693" s="19">
        <f t="shared" si="4"/>
        <v>908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8">
        <v>45269.0</v>
      </c>
      <c r="B694" s="19" t="str">
        <f t="shared" si="1"/>
        <v>Saturday</v>
      </c>
      <c r="C694" s="19" t="str">
        <f>IF(D694="","",VLOOKUP(D694,Menu!$A$2:$B$105,2,0))</f>
        <v>Pizza</v>
      </c>
      <c r="D694" s="19" t="s">
        <v>13</v>
      </c>
      <c r="E694" s="19" t="s">
        <v>3</v>
      </c>
      <c r="F694" s="19">
        <v>1.0</v>
      </c>
      <c r="G694" s="19">
        <f t="array" ref="G694">IF(OR(D694="",E694=""),"",IFERROR(CHOOSE(MATCH(E694,{"S","M","L","-"},0),VLOOKUP(D694,Menu!$A$2:$F$105,3,0),VLOOKUP(D694,Menu!$A$2:$F$105,4,0),VLOOKUP(D694,Menu!$A$2:$F$105,5,0),VLOOKUP(D694,Menu!$A$2:$F$105,6,0)),"N/A"))</f>
        <v>129</v>
      </c>
      <c r="H694" s="19">
        <f t="shared" si="2"/>
        <v>129</v>
      </c>
      <c r="I694" s="19">
        <f t="shared" si="4"/>
        <v>908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8">
        <v>45269.0</v>
      </c>
      <c r="B695" s="19" t="str">
        <f t="shared" si="1"/>
        <v>Saturday</v>
      </c>
      <c r="C695" s="19" t="str">
        <f>IF(D695="","",VLOOKUP(D695,Menu!$A$2:$B$105,2,0))</f>
        <v>Pizza</v>
      </c>
      <c r="D695" s="19" t="s">
        <v>8</v>
      </c>
      <c r="E695" s="19" t="s">
        <v>2</v>
      </c>
      <c r="F695" s="19">
        <v>1.0</v>
      </c>
      <c r="G695" s="19">
        <f t="array" ref="G695">IF(OR(D695="",E695=""),"",IFERROR(CHOOSE(MATCH(E695,{"S","M","L","-"},0),VLOOKUP(D695,Menu!$A$2:$F$105,3,0),VLOOKUP(D695,Menu!$A$2:$F$105,4,0),VLOOKUP(D695,Menu!$A$2:$F$105,5,0),VLOOKUP(D695,Menu!$A$2:$F$105,6,0)),"N/A"))</f>
        <v>59</v>
      </c>
      <c r="H695" s="19">
        <f t="shared" si="2"/>
        <v>59</v>
      </c>
      <c r="I695" s="19">
        <f t="shared" si="4"/>
        <v>908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8">
        <v>45269.0</v>
      </c>
      <c r="B696" s="19" t="str">
        <f t="shared" si="1"/>
        <v>Saturday</v>
      </c>
      <c r="C696" s="19" t="str">
        <f>IF(D696="","",VLOOKUP(D696,Menu!$A$2:$B$105,2,0))</f>
        <v>Pizza</v>
      </c>
      <c r="D696" s="19" t="s">
        <v>6</v>
      </c>
      <c r="E696" s="19" t="s">
        <v>2</v>
      </c>
      <c r="F696" s="19">
        <v>2.0</v>
      </c>
      <c r="G696" s="19">
        <f t="array" ref="G696">IF(OR(D696="",E696=""),"",IFERROR(CHOOSE(MATCH(E696,{"S","M","L","-"},0),VLOOKUP(D696,Menu!$A$2:$F$105,3,0),VLOOKUP(D696,Menu!$A$2:$F$105,4,0),VLOOKUP(D696,Menu!$A$2:$F$105,5,0),VLOOKUP(D696,Menu!$A$2:$F$105,6,0)),"N/A"))</f>
        <v>49</v>
      </c>
      <c r="H696" s="19">
        <f t="shared" si="2"/>
        <v>98</v>
      </c>
      <c r="I696" s="19">
        <f t="shared" si="4"/>
        <v>908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6">
        <v>45270.0</v>
      </c>
      <c r="B697" s="17" t="str">
        <f t="shared" si="1"/>
        <v>Sunday</v>
      </c>
      <c r="C697" s="17" t="str">
        <f>IF(D697="","",VLOOKUP(D697,Menu!$A$2:$B$105,2,0))</f>
        <v>Dessert</v>
      </c>
      <c r="D697" s="17" t="s">
        <v>56</v>
      </c>
      <c r="E697" s="17" t="s">
        <v>5</v>
      </c>
      <c r="F697" s="17">
        <v>1.0</v>
      </c>
      <c r="G697" s="17">
        <f t="array" ref="G697">IF(OR(D697="",E697=""),"",IFERROR(CHOOSE(MATCH(E697,{"S","M","L","-"},0),VLOOKUP(D697,Menu!$A$2:$F$105,3,0),VLOOKUP(D697,Menu!$A$2:$F$105,4,0),VLOOKUP(D697,Menu!$A$2:$F$105,5,0),VLOOKUP(D697,Menu!$A$2:$F$105,6,0)),"N/A"))</f>
        <v>110</v>
      </c>
      <c r="H697" s="17">
        <f t="shared" si="2"/>
        <v>110</v>
      </c>
      <c r="I697" s="17">
        <f t="shared" si="4"/>
        <v>931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6">
        <v>45270.0</v>
      </c>
      <c r="B698" s="17" t="str">
        <f t="shared" si="1"/>
        <v>Sunday</v>
      </c>
      <c r="C698" s="17" t="str">
        <f>IF(D698="","",VLOOKUP(D698,Menu!$A$2:$B$105,2,0))</f>
        <v>Pizza</v>
      </c>
      <c r="D698" s="17" t="s">
        <v>13</v>
      </c>
      <c r="E698" s="17" t="s">
        <v>2</v>
      </c>
      <c r="F698" s="17">
        <v>1.0</v>
      </c>
      <c r="G698" s="17">
        <f t="array" ref="G698">IF(OR(D698="",E698=""),"",IFERROR(CHOOSE(MATCH(E698,{"S","M","L","-"},0),VLOOKUP(D698,Menu!$A$2:$F$105,3,0),VLOOKUP(D698,Menu!$A$2:$F$105,4,0),VLOOKUP(D698,Menu!$A$2:$F$105,5,0),VLOOKUP(D698,Menu!$A$2:$F$105,6,0)),"N/A"))</f>
        <v>79</v>
      </c>
      <c r="H698" s="17">
        <f t="shared" si="2"/>
        <v>79</v>
      </c>
      <c r="I698" s="17">
        <f t="shared" si="4"/>
        <v>931</v>
      </c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6">
        <v>45270.0</v>
      </c>
      <c r="B699" s="17" t="str">
        <f t="shared" si="1"/>
        <v>Sunday</v>
      </c>
      <c r="C699" s="17" t="str">
        <f>IF(D699="","",VLOOKUP(D699,Menu!$A$2:$B$105,2,0))</f>
        <v>Burger</v>
      </c>
      <c r="D699" s="17" t="s">
        <v>27</v>
      </c>
      <c r="E699" s="17" t="s">
        <v>5</v>
      </c>
      <c r="F699" s="17">
        <v>4.0</v>
      </c>
      <c r="G699" s="17">
        <f t="array" ref="G699">IF(OR(D699="",E699=""),"",IFERROR(CHOOSE(MATCH(E699,{"S","M","L","-"},0),VLOOKUP(D699,Menu!$A$2:$F$105,3,0),VLOOKUP(D699,Menu!$A$2:$F$105,4,0),VLOOKUP(D699,Menu!$A$2:$F$105,5,0),VLOOKUP(D699,Menu!$A$2:$F$105,6,0)),"N/A"))</f>
        <v>39</v>
      </c>
      <c r="H699" s="17">
        <f t="shared" si="2"/>
        <v>156</v>
      </c>
      <c r="I699" s="17">
        <f t="shared" si="4"/>
        <v>931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6">
        <v>45270.0</v>
      </c>
      <c r="B700" s="17" t="str">
        <f t="shared" si="1"/>
        <v>Sunday</v>
      </c>
      <c r="C700" s="17" t="str">
        <f>IF(D700="","",VLOOKUP(D700,Menu!$A$2:$B$105,2,0))</f>
        <v>Pizza</v>
      </c>
      <c r="D700" s="17" t="s">
        <v>18</v>
      </c>
      <c r="E700" s="17" t="s">
        <v>3</v>
      </c>
      <c r="F700" s="17">
        <v>1.0</v>
      </c>
      <c r="G700" s="17">
        <f t="array" ref="G700">IF(OR(D700="",E700=""),"",IFERROR(CHOOSE(MATCH(E700,{"S","M","L","-"},0),VLOOKUP(D700,Menu!$A$2:$F$105,3,0),VLOOKUP(D700,Menu!$A$2:$F$105,4,0),VLOOKUP(D700,Menu!$A$2:$F$105,5,0),VLOOKUP(D700,Menu!$A$2:$F$105,6,0)),"N/A"))</f>
        <v>199</v>
      </c>
      <c r="H700" s="17">
        <f t="shared" si="2"/>
        <v>199</v>
      </c>
      <c r="I700" s="17">
        <f t="shared" si="4"/>
        <v>931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6">
        <v>45270.0</v>
      </c>
      <c r="B701" s="17" t="str">
        <f t="shared" si="1"/>
        <v>Sunday</v>
      </c>
      <c r="C701" s="17" t="str">
        <f>IF(D701="","",VLOOKUP(D701,Menu!$A$2:$B$105,2,0))</f>
        <v>Pizza</v>
      </c>
      <c r="D701" s="17" t="s">
        <v>24</v>
      </c>
      <c r="E701" s="17" t="s">
        <v>2</v>
      </c>
      <c r="F701" s="17">
        <v>1.0</v>
      </c>
      <c r="G701" s="17">
        <f t="array" ref="G701">IF(OR(D701="",E701=""),"",IFERROR(CHOOSE(MATCH(E701,{"S","M","L","-"},0),VLOOKUP(D701,Menu!$A$2:$F$105,3,0),VLOOKUP(D701,Menu!$A$2:$F$105,4,0),VLOOKUP(D701,Menu!$A$2:$F$105,5,0),VLOOKUP(D701,Menu!$A$2:$F$105,6,0)),"N/A"))</f>
        <v>149</v>
      </c>
      <c r="H701" s="17">
        <f t="shared" si="2"/>
        <v>149</v>
      </c>
      <c r="I701" s="17">
        <f t="shared" si="4"/>
        <v>931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6">
        <v>45270.0</v>
      </c>
      <c r="B702" s="17" t="str">
        <f t="shared" si="1"/>
        <v>Sunday</v>
      </c>
      <c r="C702" s="17" t="str">
        <f>IF(D702="","",VLOOKUP(D702,Menu!$A$2:$B$105,2,0))</f>
        <v>Pizza</v>
      </c>
      <c r="D702" s="17" t="s">
        <v>13</v>
      </c>
      <c r="E702" s="17" t="s">
        <v>3</v>
      </c>
      <c r="F702" s="17">
        <v>1.0</v>
      </c>
      <c r="G702" s="17">
        <f t="array" ref="G702">IF(OR(D702="",E702=""),"",IFERROR(CHOOSE(MATCH(E702,{"S","M","L","-"},0),VLOOKUP(D702,Menu!$A$2:$F$105,3,0),VLOOKUP(D702,Menu!$A$2:$F$105,4,0),VLOOKUP(D702,Menu!$A$2:$F$105,5,0),VLOOKUP(D702,Menu!$A$2:$F$105,6,0)),"N/A"))</f>
        <v>129</v>
      </c>
      <c r="H702" s="17">
        <f t="shared" si="2"/>
        <v>129</v>
      </c>
      <c r="I702" s="17">
        <f t="shared" si="4"/>
        <v>931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6">
        <v>45270.0</v>
      </c>
      <c r="B703" s="17" t="str">
        <f t="shared" si="1"/>
        <v>Sunday</v>
      </c>
      <c r="C703" s="17" t="str">
        <f>IF(D703="","",VLOOKUP(D703,Menu!$A$2:$B$105,2,0))</f>
        <v>Pizza</v>
      </c>
      <c r="D703" s="17" t="s">
        <v>11</v>
      </c>
      <c r="E703" s="17" t="s">
        <v>3</v>
      </c>
      <c r="F703" s="17">
        <v>1.0</v>
      </c>
      <c r="G703" s="17">
        <f t="array" ref="G703">IF(OR(D703="",E703=""),"",IFERROR(CHOOSE(MATCH(E703,{"S","M","L","-"},0),VLOOKUP(D703,Menu!$A$2:$F$105,3,0),VLOOKUP(D703,Menu!$A$2:$F$105,4,0),VLOOKUP(D703,Menu!$A$2:$F$105,5,0),VLOOKUP(D703,Menu!$A$2:$F$105,6,0)),"N/A"))</f>
        <v>109</v>
      </c>
      <c r="H703" s="17">
        <f t="shared" si="2"/>
        <v>109</v>
      </c>
      <c r="I703" s="17">
        <f t="shared" si="4"/>
        <v>931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8">
        <v>45271.0</v>
      </c>
      <c r="B704" s="19" t="str">
        <f t="shared" si="1"/>
        <v>Monday</v>
      </c>
      <c r="C704" s="19" t="str">
        <f>IF(D704="","",VLOOKUP(D704,Menu!$A$2:$B$105,2,0))</f>
        <v>Dessert</v>
      </c>
      <c r="D704" s="19" t="s">
        <v>56</v>
      </c>
      <c r="E704" s="19" t="s">
        <v>5</v>
      </c>
      <c r="F704" s="19">
        <v>1.0</v>
      </c>
      <c r="G704" s="19">
        <f t="array" ref="G704">IF(OR(D704="",E704=""),"",IFERROR(CHOOSE(MATCH(E704,{"S","M","L","-"},0),VLOOKUP(D704,Menu!$A$2:$F$105,3,0),VLOOKUP(D704,Menu!$A$2:$F$105,4,0),VLOOKUP(D704,Menu!$A$2:$F$105,5,0),VLOOKUP(D704,Menu!$A$2:$F$105,6,0)),"N/A"))</f>
        <v>110</v>
      </c>
      <c r="H704" s="19">
        <f t="shared" si="2"/>
        <v>110</v>
      </c>
      <c r="I704" s="19">
        <f t="shared" si="4"/>
        <v>934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8">
        <v>45271.0</v>
      </c>
      <c r="B705" s="19" t="str">
        <f t="shared" si="1"/>
        <v>Monday</v>
      </c>
      <c r="C705" s="19" t="str">
        <f>IF(D705="","",VLOOKUP(D705,Menu!$A$2:$B$105,2,0))</f>
        <v>Shake</v>
      </c>
      <c r="D705" s="19" t="s">
        <v>38</v>
      </c>
      <c r="E705" s="19" t="s">
        <v>5</v>
      </c>
      <c r="F705" s="19">
        <v>1.0</v>
      </c>
      <c r="G705" s="19">
        <f t="array" ref="G705">IF(OR(D705="",E705=""),"",IFERROR(CHOOSE(MATCH(E705,{"S","M","L","-"},0),VLOOKUP(D705,Menu!$A$2:$F$105,3,0),VLOOKUP(D705,Menu!$A$2:$F$105,4,0),VLOOKUP(D705,Menu!$A$2:$F$105,5,0),VLOOKUP(D705,Menu!$A$2:$F$105,6,0)),"N/A"))</f>
        <v>70</v>
      </c>
      <c r="H705" s="19">
        <f t="shared" si="2"/>
        <v>70</v>
      </c>
      <c r="I705" s="19">
        <f t="shared" si="4"/>
        <v>934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8">
        <v>45271.0</v>
      </c>
      <c r="B706" s="19" t="str">
        <f t="shared" si="1"/>
        <v>Monday</v>
      </c>
      <c r="C706" s="19" t="str">
        <f>IF(D706="","",VLOOKUP(D706,Menu!$A$2:$B$105,2,0))</f>
        <v>Pizza</v>
      </c>
      <c r="D706" s="19" t="s">
        <v>11</v>
      </c>
      <c r="E706" s="19" t="s">
        <v>2</v>
      </c>
      <c r="F706" s="19">
        <v>1.0</v>
      </c>
      <c r="G706" s="19">
        <f t="array" ref="G706">IF(OR(D706="",E706=""),"",IFERROR(CHOOSE(MATCH(E706,{"S","M","L","-"},0),VLOOKUP(D706,Menu!$A$2:$F$105,3,0),VLOOKUP(D706,Menu!$A$2:$F$105,4,0),VLOOKUP(D706,Menu!$A$2:$F$105,5,0),VLOOKUP(D706,Menu!$A$2:$F$105,6,0)),"N/A"))</f>
        <v>69</v>
      </c>
      <c r="H706" s="19">
        <f t="shared" si="2"/>
        <v>69</v>
      </c>
      <c r="I706" s="19">
        <f t="shared" si="4"/>
        <v>934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8">
        <v>45271.0</v>
      </c>
      <c r="B707" s="19" t="str">
        <f t="shared" si="1"/>
        <v>Monday</v>
      </c>
      <c r="C707" s="19" t="str">
        <f>IF(D707="","",VLOOKUP(D707,Menu!$A$2:$B$105,2,0))</f>
        <v>Pizza</v>
      </c>
      <c r="D707" s="19" t="s">
        <v>6</v>
      </c>
      <c r="E707" s="19" t="s">
        <v>2</v>
      </c>
      <c r="F707" s="19">
        <v>1.0</v>
      </c>
      <c r="G707" s="19">
        <f t="array" ref="G707">IF(OR(D707="",E707=""),"",IFERROR(CHOOSE(MATCH(E707,{"S","M","L","-"},0),VLOOKUP(D707,Menu!$A$2:$F$105,3,0),VLOOKUP(D707,Menu!$A$2:$F$105,4,0),VLOOKUP(D707,Menu!$A$2:$F$105,5,0),VLOOKUP(D707,Menu!$A$2:$F$105,6,0)),"N/A"))</f>
        <v>49</v>
      </c>
      <c r="H707" s="19">
        <f t="shared" si="2"/>
        <v>49</v>
      </c>
      <c r="I707" s="19">
        <f t="shared" si="4"/>
        <v>934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8">
        <v>45271.0</v>
      </c>
      <c r="B708" s="19" t="str">
        <f t="shared" si="1"/>
        <v>Monday</v>
      </c>
      <c r="C708" s="19" t="str">
        <f>IF(D708="","",VLOOKUP(D708,Menu!$A$2:$B$105,2,0))</f>
        <v>Pizza</v>
      </c>
      <c r="D708" s="19" t="s">
        <v>13</v>
      </c>
      <c r="E708" s="19" t="s">
        <v>2</v>
      </c>
      <c r="F708" s="19">
        <v>1.0</v>
      </c>
      <c r="G708" s="19">
        <f t="array" ref="G708">IF(OR(D708="",E708=""),"",IFERROR(CHOOSE(MATCH(E708,{"S","M","L","-"},0),VLOOKUP(D708,Menu!$A$2:$F$105,3,0),VLOOKUP(D708,Menu!$A$2:$F$105,4,0),VLOOKUP(D708,Menu!$A$2:$F$105,5,0),VLOOKUP(D708,Menu!$A$2:$F$105,6,0)),"N/A"))</f>
        <v>79</v>
      </c>
      <c r="H708" s="19">
        <f t="shared" si="2"/>
        <v>79</v>
      </c>
      <c r="I708" s="19">
        <f t="shared" si="4"/>
        <v>934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8">
        <v>45271.0</v>
      </c>
      <c r="B709" s="19" t="str">
        <f t="shared" si="1"/>
        <v>Monday</v>
      </c>
      <c r="C709" s="19" t="str">
        <f>IF(D709="","",VLOOKUP(D709,Menu!$A$2:$B$105,2,0))</f>
        <v>Pizza</v>
      </c>
      <c r="D709" s="19" t="s">
        <v>18</v>
      </c>
      <c r="E709" s="19" t="s">
        <v>2</v>
      </c>
      <c r="F709" s="19">
        <v>1.0</v>
      </c>
      <c r="G709" s="19">
        <f t="array" ref="G709">IF(OR(D709="",E709=""),"",IFERROR(CHOOSE(MATCH(E709,{"S","M","L","-"},0),VLOOKUP(D709,Menu!$A$2:$F$105,3,0),VLOOKUP(D709,Menu!$A$2:$F$105,4,0),VLOOKUP(D709,Menu!$A$2:$F$105,5,0),VLOOKUP(D709,Menu!$A$2:$F$105,6,0)),"N/A"))</f>
        <v>109</v>
      </c>
      <c r="H709" s="19">
        <f t="shared" si="2"/>
        <v>109</v>
      </c>
      <c r="I709" s="19">
        <f t="shared" si="4"/>
        <v>934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8">
        <v>45271.0</v>
      </c>
      <c r="B710" s="19" t="str">
        <f t="shared" si="1"/>
        <v>Monday</v>
      </c>
      <c r="C710" s="19" t="str">
        <f>IF(D710="","",VLOOKUP(D710,Menu!$A$2:$B$105,2,0))</f>
        <v>Pizza</v>
      </c>
      <c r="D710" s="19" t="s">
        <v>15</v>
      </c>
      <c r="E710" s="19" t="s">
        <v>3</v>
      </c>
      <c r="F710" s="19">
        <v>1.0</v>
      </c>
      <c r="G710" s="19">
        <f t="array" ref="G710">IF(OR(D710="",E710=""),"",IFERROR(CHOOSE(MATCH(E710,{"S","M","L","-"},0),VLOOKUP(D710,Menu!$A$2:$F$105,3,0),VLOOKUP(D710,Menu!$A$2:$F$105,4,0),VLOOKUP(D710,Menu!$A$2:$F$105,5,0),VLOOKUP(D710,Menu!$A$2:$F$105,6,0)),"N/A"))</f>
        <v>149</v>
      </c>
      <c r="H710" s="19">
        <f t="shared" si="2"/>
        <v>149</v>
      </c>
      <c r="I710" s="19">
        <f t="shared" si="4"/>
        <v>934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8">
        <v>45271.0</v>
      </c>
      <c r="B711" s="19" t="str">
        <f t="shared" si="1"/>
        <v>Monday</v>
      </c>
      <c r="C711" s="19" t="str">
        <f>IF(D711="","",VLOOKUP(D711,Menu!$A$2:$B$105,2,0))</f>
        <v>Pizza</v>
      </c>
      <c r="D711" s="19" t="s">
        <v>18</v>
      </c>
      <c r="E711" s="19" t="s">
        <v>4</v>
      </c>
      <c r="F711" s="19">
        <v>1.0</v>
      </c>
      <c r="G711" s="19">
        <f t="array" ref="G711">IF(OR(D711="",E711=""),"",IFERROR(CHOOSE(MATCH(E711,{"S","M","L","-"},0),VLOOKUP(D711,Menu!$A$2:$F$105,3,0),VLOOKUP(D711,Menu!$A$2:$F$105,4,0),VLOOKUP(D711,Menu!$A$2:$F$105,5,0),VLOOKUP(D711,Menu!$A$2:$F$105,6,0)),"N/A"))</f>
        <v>299</v>
      </c>
      <c r="H711" s="19">
        <f t="shared" si="2"/>
        <v>299</v>
      </c>
      <c r="I711" s="19">
        <f t="shared" si="4"/>
        <v>934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6">
        <v>45272.0</v>
      </c>
      <c r="B712" s="17" t="str">
        <f t="shared" si="1"/>
        <v>Tuesday</v>
      </c>
      <c r="C712" s="17" t="str">
        <f>IF(D712="","",VLOOKUP(D712,Menu!$A$2:$B$105,2,0))</f>
        <v>Burger</v>
      </c>
      <c r="D712" s="17" t="s">
        <v>27</v>
      </c>
      <c r="E712" s="17" t="s">
        <v>5</v>
      </c>
      <c r="F712" s="17">
        <v>3.0</v>
      </c>
      <c r="G712" s="17">
        <f t="array" ref="G712">IF(OR(D712="",E712=""),"",IFERROR(CHOOSE(MATCH(E712,{"S","M","L","-"},0),VLOOKUP(D712,Menu!$A$2:$F$105,3,0),VLOOKUP(D712,Menu!$A$2:$F$105,4,0),VLOOKUP(D712,Menu!$A$2:$F$105,5,0),VLOOKUP(D712,Menu!$A$2:$F$105,6,0)),"N/A"))</f>
        <v>39</v>
      </c>
      <c r="H712" s="17">
        <f t="shared" si="2"/>
        <v>117</v>
      </c>
      <c r="I712" s="17">
        <f t="shared" si="4"/>
        <v>366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6">
        <v>45272.0</v>
      </c>
      <c r="B713" s="17" t="str">
        <f t="shared" si="1"/>
        <v>Tuesday</v>
      </c>
      <c r="C713" s="17" t="str">
        <f>IF(D713="","",VLOOKUP(D713,Menu!$A$2:$B$105,2,0))</f>
        <v>Pizza</v>
      </c>
      <c r="D713" s="17" t="s">
        <v>11</v>
      </c>
      <c r="E713" s="17" t="s">
        <v>2</v>
      </c>
      <c r="F713" s="17">
        <v>1.0</v>
      </c>
      <c r="G713" s="17">
        <f t="array" ref="G713">IF(OR(D713="",E713=""),"",IFERROR(CHOOSE(MATCH(E713,{"S","M","L","-"},0),VLOOKUP(D713,Menu!$A$2:$F$105,3,0),VLOOKUP(D713,Menu!$A$2:$F$105,4,0),VLOOKUP(D713,Menu!$A$2:$F$105,5,0),VLOOKUP(D713,Menu!$A$2:$F$105,6,0)),"N/A"))</f>
        <v>69</v>
      </c>
      <c r="H713" s="17">
        <f t="shared" si="2"/>
        <v>69</v>
      </c>
      <c r="I713" s="17">
        <f t="shared" si="4"/>
        <v>366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6">
        <v>45272.0</v>
      </c>
      <c r="B714" s="17" t="str">
        <f t="shared" si="1"/>
        <v>Tuesday</v>
      </c>
      <c r="C714" s="17" t="str">
        <f>IF(D714="","",VLOOKUP(D714,Menu!$A$2:$B$105,2,0))</f>
        <v>Dessert</v>
      </c>
      <c r="D714" s="17" t="s">
        <v>56</v>
      </c>
      <c r="E714" s="17" t="s">
        <v>5</v>
      </c>
      <c r="F714" s="17">
        <v>1.0</v>
      </c>
      <c r="G714" s="17">
        <f t="array" ref="G714">IF(OR(D714="",E714=""),"",IFERROR(CHOOSE(MATCH(E714,{"S","M","L","-"},0),VLOOKUP(D714,Menu!$A$2:$F$105,3,0),VLOOKUP(D714,Menu!$A$2:$F$105,4,0),VLOOKUP(D714,Menu!$A$2:$F$105,5,0),VLOOKUP(D714,Menu!$A$2:$F$105,6,0)),"N/A"))</f>
        <v>110</v>
      </c>
      <c r="H714" s="17">
        <f t="shared" si="2"/>
        <v>110</v>
      </c>
      <c r="I714" s="17">
        <f t="shared" si="4"/>
        <v>366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6">
        <v>45272.0</v>
      </c>
      <c r="B715" s="17" t="str">
        <f t="shared" si="1"/>
        <v>Tuesday</v>
      </c>
      <c r="C715" s="17" t="str">
        <f>IF(D715="","",VLOOKUP(D715,Menu!$A$2:$B$105,2,0))</f>
        <v>Shake</v>
      </c>
      <c r="D715" s="17" t="s">
        <v>38</v>
      </c>
      <c r="E715" s="17" t="s">
        <v>5</v>
      </c>
      <c r="F715" s="17">
        <v>1.0</v>
      </c>
      <c r="G715" s="17">
        <f t="array" ref="G715">IF(OR(D715="",E715=""),"",IFERROR(CHOOSE(MATCH(E715,{"S","M","L","-"},0),VLOOKUP(D715,Menu!$A$2:$F$105,3,0),VLOOKUP(D715,Menu!$A$2:$F$105,4,0),VLOOKUP(D715,Menu!$A$2:$F$105,5,0),VLOOKUP(D715,Menu!$A$2:$F$105,6,0)),"N/A"))</f>
        <v>70</v>
      </c>
      <c r="H715" s="17">
        <f t="shared" si="2"/>
        <v>70</v>
      </c>
      <c r="I715" s="17">
        <f t="shared" si="4"/>
        <v>366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8">
        <v>45273.0</v>
      </c>
      <c r="B716" s="19" t="str">
        <f t="shared" si="1"/>
        <v>Wednesday</v>
      </c>
      <c r="C716" s="19" t="str">
        <f>IF(D716="","",VLOOKUP(D716,Menu!$A$2:$B$105,2,0))</f>
        <v>Dessert</v>
      </c>
      <c r="D716" s="19" t="s">
        <v>56</v>
      </c>
      <c r="E716" s="19" t="s">
        <v>5</v>
      </c>
      <c r="F716" s="19">
        <v>1.0</v>
      </c>
      <c r="G716" s="19">
        <f t="array" ref="G716">IF(OR(D716="",E716=""),"",IFERROR(CHOOSE(MATCH(E716,{"S","M","L","-"},0),VLOOKUP(D716,Menu!$A$2:$F$105,3,0),VLOOKUP(D716,Menu!$A$2:$F$105,4,0),VLOOKUP(D716,Menu!$A$2:$F$105,5,0),VLOOKUP(D716,Menu!$A$2:$F$105,6,0)),"N/A"))</f>
        <v>110</v>
      </c>
      <c r="H716" s="19">
        <f t="shared" si="2"/>
        <v>110</v>
      </c>
      <c r="I716" s="19">
        <f t="shared" si="4"/>
        <v>923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8">
        <v>45273.0</v>
      </c>
      <c r="B717" s="19" t="str">
        <f t="shared" si="1"/>
        <v>Wednesday</v>
      </c>
      <c r="C717" s="19" t="str">
        <f>IF(D717="","",VLOOKUP(D717,Menu!$A$2:$B$105,2,0))</f>
        <v>Pizza</v>
      </c>
      <c r="D717" s="19" t="s">
        <v>13</v>
      </c>
      <c r="E717" s="19" t="s">
        <v>3</v>
      </c>
      <c r="F717" s="19">
        <v>1.0</v>
      </c>
      <c r="G717" s="19">
        <f t="array" ref="G717">IF(OR(D717="",E717=""),"",IFERROR(CHOOSE(MATCH(E717,{"S","M","L","-"},0),VLOOKUP(D717,Menu!$A$2:$F$105,3,0),VLOOKUP(D717,Menu!$A$2:$F$105,4,0),VLOOKUP(D717,Menu!$A$2:$F$105,5,0),VLOOKUP(D717,Menu!$A$2:$F$105,6,0)),"N/A"))</f>
        <v>129</v>
      </c>
      <c r="H717" s="19">
        <f t="shared" si="2"/>
        <v>129</v>
      </c>
      <c r="I717" s="19">
        <f t="shared" si="4"/>
        <v>923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8">
        <v>45273.0</v>
      </c>
      <c r="B718" s="19" t="str">
        <f t="shared" si="1"/>
        <v>Wednesday</v>
      </c>
      <c r="C718" s="19" t="str">
        <f>IF(D718="","",VLOOKUP(D718,Menu!$A$2:$B$105,2,0))</f>
        <v>Pizza</v>
      </c>
      <c r="D718" s="19" t="s">
        <v>15</v>
      </c>
      <c r="E718" s="19" t="s">
        <v>2</v>
      </c>
      <c r="F718" s="19">
        <v>2.0</v>
      </c>
      <c r="G718" s="19">
        <f t="array" ref="G718">IF(OR(D718="",E718=""),"",IFERROR(CHOOSE(MATCH(E718,{"S","M","L","-"},0),VLOOKUP(D718,Menu!$A$2:$F$105,3,0),VLOOKUP(D718,Menu!$A$2:$F$105,4,0),VLOOKUP(D718,Menu!$A$2:$F$105,5,0),VLOOKUP(D718,Menu!$A$2:$F$105,6,0)),"N/A"))</f>
        <v>99</v>
      </c>
      <c r="H718" s="19">
        <f t="shared" si="2"/>
        <v>198</v>
      </c>
      <c r="I718" s="19">
        <f t="shared" si="4"/>
        <v>923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8">
        <v>45273.0</v>
      </c>
      <c r="B719" s="19" t="str">
        <f t="shared" si="1"/>
        <v>Wednesday</v>
      </c>
      <c r="C719" s="19" t="str">
        <f>IF(D719="","",VLOOKUP(D719,Menu!$A$2:$B$105,2,0))</f>
        <v>Pizza</v>
      </c>
      <c r="D719" s="19" t="s">
        <v>14</v>
      </c>
      <c r="E719" s="19" t="s">
        <v>2</v>
      </c>
      <c r="F719" s="19">
        <v>1.0</v>
      </c>
      <c r="G719" s="19">
        <f t="array" ref="G719">IF(OR(D719="",E719=""),"",IFERROR(CHOOSE(MATCH(E719,{"S","M","L","-"},0),VLOOKUP(D719,Menu!$A$2:$F$105,3,0),VLOOKUP(D719,Menu!$A$2:$F$105,4,0),VLOOKUP(D719,Menu!$A$2:$F$105,5,0),VLOOKUP(D719,Menu!$A$2:$F$105,6,0)),"N/A"))</f>
        <v>79</v>
      </c>
      <c r="H719" s="19">
        <f t="shared" si="2"/>
        <v>79</v>
      </c>
      <c r="I719" s="19">
        <f t="shared" si="4"/>
        <v>923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8">
        <v>45273.0</v>
      </c>
      <c r="B720" s="19" t="str">
        <f t="shared" si="1"/>
        <v>Wednesday</v>
      </c>
      <c r="C720" s="19" t="str">
        <f>IF(D720="","",VLOOKUP(D720,Menu!$A$2:$B$105,2,0))</f>
        <v>Pizza</v>
      </c>
      <c r="D720" s="19" t="s">
        <v>16</v>
      </c>
      <c r="E720" s="19" t="s">
        <v>2</v>
      </c>
      <c r="F720" s="19">
        <v>1.0</v>
      </c>
      <c r="G720" s="19">
        <f t="array" ref="G720">IF(OR(D720="",E720=""),"",IFERROR(CHOOSE(MATCH(E720,{"S","M","L","-"},0),VLOOKUP(D720,Menu!$A$2:$F$105,3,0),VLOOKUP(D720,Menu!$A$2:$F$105,4,0),VLOOKUP(D720,Menu!$A$2:$F$105,5,0),VLOOKUP(D720,Menu!$A$2:$F$105,6,0)),"N/A"))</f>
        <v>109</v>
      </c>
      <c r="H720" s="19">
        <f t="shared" si="2"/>
        <v>109</v>
      </c>
      <c r="I720" s="19">
        <f t="shared" si="4"/>
        <v>923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8">
        <v>45273.0</v>
      </c>
      <c r="B721" s="19" t="str">
        <f t="shared" si="1"/>
        <v>Wednesday</v>
      </c>
      <c r="C721" s="19" t="str">
        <f>IF(D721="","",VLOOKUP(D721,Menu!$A$2:$B$105,2,0))</f>
        <v>Combo</v>
      </c>
      <c r="D721" s="19" t="s">
        <v>57</v>
      </c>
      <c r="E721" s="19" t="s">
        <v>5</v>
      </c>
      <c r="F721" s="19">
        <v>1.0</v>
      </c>
      <c r="G721" s="19">
        <f t="array" ref="G721">IF(OR(D721="",E721=""),"",IFERROR(CHOOSE(MATCH(E721,{"S","M","L","-"},0),VLOOKUP(D721,Menu!$A$2:$F$105,3,0),VLOOKUP(D721,Menu!$A$2:$F$105,4,0),VLOOKUP(D721,Menu!$A$2:$F$105,5,0),VLOOKUP(D721,Menu!$A$2:$F$105,6,0)),"N/A"))</f>
        <v>149</v>
      </c>
      <c r="H721" s="19">
        <f t="shared" si="2"/>
        <v>149</v>
      </c>
      <c r="I721" s="19">
        <f t="shared" si="4"/>
        <v>923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8">
        <v>45273.0</v>
      </c>
      <c r="B722" s="19" t="str">
        <f t="shared" si="1"/>
        <v>Wednesday</v>
      </c>
      <c r="C722" s="19" t="str">
        <f>IF(D722="","",VLOOKUP(D722,Menu!$A$2:$B$105,2,0))</f>
        <v>Pizza</v>
      </c>
      <c r="D722" s="19" t="s">
        <v>24</v>
      </c>
      <c r="E722" s="19" t="s">
        <v>2</v>
      </c>
      <c r="F722" s="19">
        <v>1.0</v>
      </c>
      <c r="G722" s="19">
        <f t="array" ref="G722">IF(OR(D722="",E722=""),"",IFERROR(CHOOSE(MATCH(E722,{"S","M","L","-"},0),VLOOKUP(D722,Menu!$A$2:$F$105,3,0),VLOOKUP(D722,Menu!$A$2:$F$105,4,0),VLOOKUP(D722,Menu!$A$2:$F$105,5,0),VLOOKUP(D722,Menu!$A$2:$F$105,6,0)),"N/A"))</f>
        <v>149</v>
      </c>
      <c r="H722" s="19">
        <f t="shared" si="2"/>
        <v>149</v>
      </c>
      <c r="I722" s="19">
        <f t="shared" si="4"/>
        <v>923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6">
        <v>45274.0</v>
      </c>
      <c r="B723" s="17" t="str">
        <f t="shared" si="1"/>
        <v>Thursday</v>
      </c>
      <c r="C723" s="17" t="str">
        <f>IF(D723="","",VLOOKUP(D723,Menu!$A$2:$B$105,2,0))</f>
        <v>Pizza</v>
      </c>
      <c r="D723" s="17" t="s">
        <v>11</v>
      </c>
      <c r="E723" s="17" t="s">
        <v>4</v>
      </c>
      <c r="F723" s="17">
        <v>1.0</v>
      </c>
      <c r="G723" s="17">
        <f t="array" ref="G723">IF(OR(D723="",E723=""),"",IFERROR(CHOOSE(MATCH(E723,{"S","M","L","-"},0),VLOOKUP(D723,Menu!$A$2:$F$105,3,0),VLOOKUP(D723,Menu!$A$2:$F$105,4,0),VLOOKUP(D723,Menu!$A$2:$F$105,5,0),VLOOKUP(D723,Menu!$A$2:$F$105,6,0)),"N/A"))</f>
        <v>209</v>
      </c>
      <c r="H723" s="17">
        <f t="shared" si="2"/>
        <v>209</v>
      </c>
      <c r="I723" s="17">
        <f t="shared" si="4"/>
        <v>751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6">
        <v>45274.0</v>
      </c>
      <c r="B724" s="17" t="str">
        <f t="shared" si="1"/>
        <v>Thursday</v>
      </c>
      <c r="C724" s="17" t="str">
        <f>IF(D724="","",VLOOKUP(D724,Menu!$A$2:$B$105,2,0))</f>
        <v>Pizza</v>
      </c>
      <c r="D724" s="17" t="s">
        <v>9</v>
      </c>
      <c r="E724" s="17" t="s">
        <v>2</v>
      </c>
      <c r="F724" s="17">
        <v>2.0</v>
      </c>
      <c r="G724" s="17">
        <f t="array" ref="G724">IF(OR(D724="",E724=""),"",IFERROR(CHOOSE(MATCH(E724,{"S","M","L","-"},0),VLOOKUP(D724,Menu!$A$2:$F$105,3,0),VLOOKUP(D724,Menu!$A$2:$F$105,4,0),VLOOKUP(D724,Menu!$A$2:$F$105,5,0),VLOOKUP(D724,Menu!$A$2:$F$105,6,0)),"N/A"))</f>
        <v>59</v>
      </c>
      <c r="H724" s="17">
        <f t="shared" si="2"/>
        <v>118</v>
      </c>
      <c r="I724" s="17">
        <f t="shared" si="4"/>
        <v>751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6">
        <v>45274.0</v>
      </c>
      <c r="B725" s="17" t="str">
        <f t="shared" si="1"/>
        <v>Thursday</v>
      </c>
      <c r="C725" s="17" t="str">
        <f>IF(D725="","",VLOOKUP(D725,Menu!$A$2:$B$105,2,0))</f>
        <v>Pizza</v>
      </c>
      <c r="D725" s="17" t="s">
        <v>8</v>
      </c>
      <c r="E725" s="17" t="s">
        <v>2</v>
      </c>
      <c r="F725" s="17">
        <v>2.0</v>
      </c>
      <c r="G725" s="17">
        <f t="array" ref="G725">IF(OR(D725="",E725=""),"",IFERROR(CHOOSE(MATCH(E725,{"S","M","L","-"},0),VLOOKUP(D725,Menu!$A$2:$F$105,3,0),VLOOKUP(D725,Menu!$A$2:$F$105,4,0),VLOOKUP(D725,Menu!$A$2:$F$105,5,0),VLOOKUP(D725,Menu!$A$2:$F$105,6,0)),"N/A"))</f>
        <v>59</v>
      </c>
      <c r="H725" s="17">
        <f t="shared" si="2"/>
        <v>118</v>
      </c>
      <c r="I725" s="17">
        <f t="shared" si="4"/>
        <v>751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6">
        <v>45274.0</v>
      </c>
      <c r="B726" s="17" t="str">
        <f t="shared" si="1"/>
        <v>Thursday</v>
      </c>
      <c r="C726" s="17" t="str">
        <f>IF(D726="","",VLOOKUP(D726,Menu!$A$2:$B$105,2,0))</f>
        <v>Pizza</v>
      </c>
      <c r="D726" s="17" t="s">
        <v>6</v>
      </c>
      <c r="E726" s="17" t="s">
        <v>2</v>
      </c>
      <c r="F726" s="17">
        <v>2.0</v>
      </c>
      <c r="G726" s="17">
        <f t="array" ref="G726">IF(OR(D726="",E726=""),"",IFERROR(CHOOSE(MATCH(E726,{"S","M","L","-"},0),VLOOKUP(D726,Menu!$A$2:$F$105,3,0),VLOOKUP(D726,Menu!$A$2:$F$105,4,0),VLOOKUP(D726,Menu!$A$2:$F$105,5,0),VLOOKUP(D726,Menu!$A$2:$F$105,6,0)),"N/A"))</f>
        <v>49</v>
      </c>
      <c r="H726" s="17">
        <f t="shared" si="2"/>
        <v>98</v>
      </c>
      <c r="I726" s="17">
        <f t="shared" si="4"/>
        <v>751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6">
        <v>45274.0</v>
      </c>
      <c r="B727" s="17" t="str">
        <f t="shared" si="1"/>
        <v>Thursday</v>
      </c>
      <c r="C727" s="17" t="str">
        <f>IF(D727="","",VLOOKUP(D727,Menu!$A$2:$B$105,2,0))</f>
        <v>Pizza</v>
      </c>
      <c r="D727" s="17" t="s">
        <v>18</v>
      </c>
      <c r="E727" s="17" t="s">
        <v>2</v>
      </c>
      <c r="F727" s="17">
        <v>1.0</v>
      </c>
      <c r="G727" s="17">
        <f t="array" ref="G727">IF(OR(D727="",E727=""),"",IFERROR(CHOOSE(MATCH(E727,{"S","M","L","-"},0),VLOOKUP(D727,Menu!$A$2:$F$105,3,0),VLOOKUP(D727,Menu!$A$2:$F$105,4,0),VLOOKUP(D727,Menu!$A$2:$F$105,5,0),VLOOKUP(D727,Menu!$A$2:$F$105,6,0)),"N/A"))</f>
        <v>109</v>
      </c>
      <c r="H727" s="17">
        <f t="shared" si="2"/>
        <v>109</v>
      </c>
      <c r="I727" s="17">
        <f t="shared" si="4"/>
        <v>751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6">
        <v>45274.0</v>
      </c>
      <c r="B728" s="17" t="str">
        <f t="shared" si="1"/>
        <v>Thursday</v>
      </c>
      <c r="C728" s="17" t="str">
        <f>IF(D728="","",VLOOKUP(D728,Menu!$A$2:$B$105,2,0))</f>
        <v>Pizza</v>
      </c>
      <c r="D728" s="17" t="s">
        <v>26</v>
      </c>
      <c r="E728" s="17" t="s">
        <v>5</v>
      </c>
      <c r="F728" s="17">
        <v>1.0</v>
      </c>
      <c r="G728" s="17">
        <f t="array" ref="G728">IF(OR(D728="",E728=""),"",IFERROR(CHOOSE(MATCH(E728,{"S","M","L","-"},0),VLOOKUP(D728,Menu!$A$2:$F$105,3,0),VLOOKUP(D728,Menu!$A$2:$F$105,4,0),VLOOKUP(D728,Menu!$A$2:$F$105,5,0),VLOOKUP(D728,Menu!$A$2:$F$105,6,0)),"N/A"))</f>
        <v>99</v>
      </c>
      <c r="H728" s="17">
        <f t="shared" si="2"/>
        <v>99</v>
      </c>
      <c r="I728" s="17">
        <f t="shared" si="4"/>
        <v>751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8">
        <v>45275.0</v>
      </c>
      <c r="B729" s="19" t="str">
        <f t="shared" si="1"/>
        <v>Friday</v>
      </c>
      <c r="C729" s="19" t="str">
        <f>IF(D729="","",VLOOKUP(D729,Menu!$A$2:$B$105,2,0))</f>
        <v>Pizza</v>
      </c>
      <c r="D729" s="19" t="s">
        <v>10</v>
      </c>
      <c r="E729" s="19" t="s">
        <v>2</v>
      </c>
      <c r="F729" s="19">
        <v>1.0</v>
      </c>
      <c r="G729" s="19">
        <f t="array" ref="G729">IF(OR(D729="",E729=""),"",IFERROR(CHOOSE(MATCH(E729,{"S","M","L","-"},0),VLOOKUP(D729,Menu!$A$2:$F$105,3,0),VLOOKUP(D729,Menu!$A$2:$F$105,4,0),VLOOKUP(D729,Menu!$A$2:$F$105,5,0),VLOOKUP(D729,Menu!$A$2:$F$105,6,0)),"N/A"))</f>
        <v>59</v>
      </c>
      <c r="H729" s="19">
        <f t="shared" si="2"/>
        <v>59</v>
      </c>
      <c r="I729" s="19">
        <f t="shared" si="4"/>
        <v>981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8">
        <v>45275.0</v>
      </c>
      <c r="B730" s="19" t="str">
        <f t="shared" si="1"/>
        <v>Friday</v>
      </c>
      <c r="C730" s="19" t="str">
        <f>IF(D730="","",VLOOKUP(D730,Menu!$A$2:$B$105,2,0))</f>
        <v>Pizza</v>
      </c>
      <c r="D730" s="19" t="s">
        <v>13</v>
      </c>
      <c r="E730" s="19" t="s">
        <v>2</v>
      </c>
      <c r="F730" s="19">
        <v>1.0</v>
      </c>
      <c r="G730" s="19">
        <f t="array" ref="G730">IF(OR(D730="",E730=""),"",IFERROR(CHOOSE(MATCH(E730,{"S","M","L","-"},0),VLOOKUP(D730,Menu!$A$2:$F$105,3,0),VLOOKUP(D730,Menu!$A$2:$F$105,4,0),VLOOKUP(D730,Menu!$A$2:$F$105,5,0),VLOOKUP(D730,Menu!$A$2:$F$105,6,0)),"N/A"))</f>
        <v>79</v>
      </c>
      <c r="H730" s="19">
        <f t="shared" si="2"/>
        <v>79</v>
      </c>
      <c r="I730" s="19">
        <f t="shared" si="4"/>
        <v>981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8">
        <v>45275.0</v>
      </c>
      <c r="B731" s="19" t="str">
        <f t="shared" si="1"/>
        <v>Friday</v>
      </c>
      <c r="C731" s="19" t="str">
        <f>IF(D731="","",VLOOKUP(D731,Menu!$A$2:$B$105,2,0))</f>
        <v>Pizza</v>
      </c>
      <c r="D731" s="19" t="s">
        <v>8</v>
      </c>
      <c r="E731" s="19" t="s">
        <v>2</v>
      </c>
      <c r="F731" s="19">
        <v>1.0</v>
      </c>
      <c r="G731" s="19">
        <f t="array" ref="G731">IF(OR(D731="",E731=""),"",IFERROR(CHOOSE(MATCH(E731,{"S","M","L","-"},0),VLOOKUP(D731,Menu!$A$2:$F$105,3,0),VLOOKUP(D731,Menu!$A$2:$F$105,4,0),VLOOKUP(D731,Menu!$A$2:$F$105,5,0),VLOOKUP(D731,Menu!$A$2:$F$105,6,0)),"N/A"))</f>
        <v>59</v>
      </c>
      <c r="H731" s="19">
        <f t="shared" si="2"/>
        <v>59</v>
      </c>
      <c r="I731" s="19">
        <f t="shared" si="4"/>
        <v>981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8">
        <v>45275.0</v>
      </c>
      <c r="B732" s="19" t="str">
        <f t="shared" si="1"/>
        <v>Friday</v>
      </c>
      <c r="C732" s="19" t="str">
        <f>IF(D732="","",VLOOKUP(D732,Menu!$A$2:$B$105,2,0))</f>
        <v>Pizza</v>
      </c>
      <c r="D732" s="19" t="s">
        <v>18</v>
      </c>
      <c r="E732" s="19" t="s">
        <v>3</v>
      </c>
      <c r="F732" s="19">
        <v>1.0</v>
      </c>
      <c r="G732" s="19">
        <f t="array" ref="G732">IF(OR(D732="",E732=""),"",IFERROR(CHOOSE(MATCH(E732,{"S","M","L","-"},0),VLOOKUP(D732,Menu!$A$2:$F$105,3,0),VLOOKUP(D732,Menu!$A$2:$F$105,4,0),VLOOKUP(D732,Menu!$A$2:$F$105,5,0),VLOOKUP(D732,Menu!$A$2:$F$105,6,0)),"N/A"))</f>
        <v>199</v>
      </c>
      <c r="H732" s="19">
        <f t="shared" si="2"/>
        <v>199</v>
      </c>
      <c r="I732" s="19">
        <f t="shared" si="4"/>
        <v>981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8">
        <v>45275.0</v>
      </c>
      <c r="B733" s="19" t="str">
        <f t="shared" si="1"/>
        <v>Friday</v>
      </c>
      <c r="C733" s="19" t="str">
        <f>IF(D733="","",VLOOKUP(D733,Menu!$A$2:$B$105,2,0))</f>
        <v>Pizza</v>
      </c>
      <c r="D733" s="19" t="s">
        <v>11</v>
      </c>
      <c r="E733" s="19" t="s">
        <v>3</v>
      </c>
      <c r="F733" s="19">
        <v>1.0</v>
      </c>
      <c r="G733" s="19">
        <f t="array" ref="G733">IF(OR(D733="",E733=""),"",IFERROR(CHOOSE(MATCH(E733,{"S","M","L","-"},0),VLOOKUP(D733,Menu!$A$2:$F$105,3,0),VLOOKUP(D733,Menu!$A$2:$F$105,4,0),VLOOKUP(D733,Menu!$A$2:$F$105,5,0),VLOOKUP(D733,Menu!$A$2:$F$105,6,0)),"N/A"))</f>
        <v>109</v>
      </c>
      <c r="H733" s="19">
        <f t="shared" si="2"/>
        <v>109</v>
      </c>
      <c r="I733" s="19">
        <f t="shared" si="4"/>
        <v>981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8">
        <v>45275.0</v>
      </c>
      <c r="B734" s="19" t="str">
        <f t="shared" si="1"/>
        <v>Friday</v>
      </c>
      <c r="C734" s="19" t="str">
        <f>IF(D734="","",VLOOKUP(D734,Menu!$A$2:$B$105,2,0))</f>
        <v>Burger</v>
      </c>
      <c r="D734" s="19" t="s">
        <v>27</v>
      </c>
      <c r="E734" s="19" t="s">
        <v>5</v>
      </c>
      <c r="F734" s="19">
        <v>2.0</v>
      </c>
      <c r="G734" s="19">
        <f t="array" ref="G734">IF(OR(D734="",E734=""),"",IFERROR(CHOOSE(MATCH(E734,{"S","M","L","-"},0),VLOOKUP(D734,Menu!$A$2:$F$105,3,0),VLOOKUP(D734,Menu!$A$2:$F$105,4,0),VLOOKUP(D734,Menu!$A$2:$F$105,5,0),VLOOKUP(D734,Menu!$A$2:$F$105,6,0)),"N/A"))</f>
        <v>39</v>
      </c>
      <c r="H734" s="19">
        <f t="shared" si="2"/>
        <v>78</v>
      </c>
      <c r="I734" s="19">
        <f t="shared" si="4"/>
        <v>981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8">
        <v>45275.0</v>
      </c>
      <c r="B735" s="19" t="str">
        <f t="shared" si="1"/>
        <v>Friday</v>
      </c>
      <c r="C735" s="19" t="str">
        <f>IF(D735="","",VLOOKUP(D735,Menu!$A$2:$B$105,2,0))</f>
        <v>Pizza</v>
      </c>
      <c r="D735" s="19" t="s">
        <v>20</v>
      </c>
      <c r="E735" s="19" t="s">
        <v>4</v>
      </c>
      <c r="F735" s="19">
        <v>1.0</v>
      </c>
      <c r="G735" s="19">
        <f t="array" ref="G735">IF(OR(D735="",E735=""),"",IFERROR(CHOOSE(MATCH(E735,{"S","M","L","-"},0),VLOOKUP(D735,Menu!$A$2:$F$105,3,0),VLOOKUP(D735,Menu!$A$2:$F$105,4,0),VLOOKUP(D735,Menu!$A$2:$F$105,5,0),VLOOKUP(D735,Menu!$A$2:$F$105,6,0)),"N/A"))</f>
        <v>299</v>
      </c>
      <c r="H735" s="19">
        <f t="shared" si="2"/>
        <v>299</v>
      </c>
      <c r="I735" s="19">
        <f t="shared" si="4"/>
        <v>981</v>
      </c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8">
        <v>45275.0</v>
      </c>
      <c r="B736" s="19" t="str">
        <f t="shared" si="1"/>
        <v>Friday</v>
      </c>
      <c r="C736" s="19" t="str">
        <f>IF(D736="","",VLOOKUP(D736,Menu!$A$2:$B$105,2,0))</f>
        <v>Pizza</v>
      </c>
      <c r="D736" s="19" t="s">
        <v>26</v>
      </c>
      <c r="E736" s="19" t="s">
        <v>5</v>
      </c>
      <c r="F736" s="19">
        <v>1.0</v>
      </c>
      <c r="G736" s="19">
        <f t="array" ref="G736">IF(OR(D736="",E736=""),"",IFERROR(CHOOSE(MATCH(E736,{"S","M","L","-"},0),VLOOKUP(D736,Menu!$A$2:$F$105,3,0),VLOOKUP(D736,Menu!$A$2:$F$105,4,0),VLOOKUP(D736,Menu!$A$2:$F$105,5,0),VLOOKUP(D736,Menu!$A$2:$F$105,6,0)),"N/A"))</f>
        <v>99</v>
      </c>
      <c r="H736" s="19">
        <f t="shared" si="2"/>
        <v>99</v>
      </c>
      <c r="I736" s="19">
        <f t="shared" si="4"/>
        <v>981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6">
        <v>45276.0</v>
      </c>
      <c r="B737" s="17" t="str">
        <f t="shared" si="1"/>
        <v>Saturday</v>
      </c>
      <c r="C737" s="17" t="str">
        <f>IF(D737="","",VLOOKUP(D737,Menu!$A$2:$B$105,2,0))</f>
        <v>Pizza</v>
      </c>
      <c r="D737" s="17" t="s">
        <v>18</v>
      </c>
      <c r="E737" s="17" t="s">
        <v>2</v>
      </c>
      <c r="F737" s="17">
        <v>1.0</v>
      </c>
      <c r="G737" s="17">
        <f t="array" ref="G737">IF(OR(D737="",E737=""),"",IFERROR(CHOOSE(MATCH(E737,{"S","M","L","-"},0),VLOOKUP(D737,Menu!$A$2:$F$105,3,0),VLOOKUP(D737,Menu!$A$2:$F$105,4,0),VLOOKUP(D737,Menu!$A$2:$F$105,5,0),VLOOKUP(D737,Menu!$A$2:$F$105,6,0)),"N/A"))</f>
        <v>109</v>
      </c>
      <c r="H737" s="17">
        <f t="shared" si="2"/>
        <v>109</v>
      </c>
      <c r="I737" s="17">
        <f t="shared" si="4"/>
        <v>636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6">
        <v>45276.0</v>
      </c>
      <c r="B738" s="17" t="str">
        <f t="shared" si="1"/>
        <v>Saturday</v>
      </c>
      <c r="C738" s="17" t="str">
        <f>IF(D738="","",VLOOKUP(D738,Menu!$A$2:$B$105,2,0))</f>
        <v>Pizza</v>
      </c>
      <c r="D738" s="17" t="s">
        <v>11</v>
      </c>
      <c r="E738" s="17" t="s">
        <v>3</v>
      </c>
      <c r="F738" s="17">
        <v>1.0</v>
      </c>
      <c r="G738" s="17">
        <f t="array" ref="G738">IF(OR(D738="",E738=""),"",IFERROR(CHOOSE(MATCH(E738,{"S","M","L","-"},0),VLOOKUP(D738,Menu!$A$2:$F$105,3,0),VLOOKUP(D738,Menu!$A$2:$F$105,4,0),VLOOKUP(D738,Menu!$A$2:$F$105,5,0),VLOOKUP(D738,Menu!$A$2:$F$105,6,0)),"N/A"))</f>
        <v>109</v>
      </c>
      <c r="H738" s="17">
        <f t="shared" si="2"/>
        <v>109</v>
      </c>
      <c r="I738" s="17">
        <f t="shared" si="4"/>
        <v>636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6">
        <v>45276.0</v>
      </c>
      <c r="B739" s="17" t="str">
        <f t="shared" si="1"/>
        <v>Saturday</v>
      </c>
      <c r="C739" s="17" t="str">
        <f>IF(D739="","",VLOOKUP(D739,Menu!$A$2:$B$105,2,0))</f>
        <v>Pizza</v>
      </c>
      <c r="D739" s="17" t="s">
        <v>11</v>
      </c>
      <c r="E739" s="17" t="s">
        <v>4</v>
      </c>
      <c r="F739" s="17">
        <v>1.0</v>
      </c>
      <c r="G739" s="17">
        <f t="array" ref="G739">IF(OR(D739="",E739=""),"",IFERROR(CHOOSE(MATCH(E739,{"S","M","L","-"},0),VLOOKUP(D739,Menu!$A$2:$F$105,3,0),VLOOKUP(D739,Menu!$A$2:$F$105,4,0),VLOOKUP(D739,Menu!$A$2:$F$105,5,0),VLOOKUP(D739,Menu!$A$2:$F$105,6,0)),"N/A"))</f>
        <v>209</v>
      </c>
      <c r="H739" s="17">
        <f t="shared" si="2"/>
        <v>209</v>
      </c>
      <c r="I739" s="17">
        <f t="shared" si="4"/>
        <v>636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6">
        <v>45276.0</v>
      </c>
      <c r="B740" s="17" t="str">
        <f t="shared" si="1"/>
        <v>Saturday</v>
      </c>
      <c r="C740" s="17" t="str">
        <f>IF(D740="","",VLOOKUP(D740,Menu!$A$2:$B$105,2,0))</f>
        <v>Pizza</v>
      </c>
      <c r="D740" s="17" t="s">
        <v>13</v>
      </c>
      <c r="E740" s="17" t="s">
        <v>4</v>
      </c>
      <c r="F740" s="17">
        <v>1.0</v>
      </c>
      <c r="G740" s="17">
        <f t="array" ref="G740">IF(OR(D740="",E740=""),"",IFERROR(CHOOSE(MATCH(E740,{"S","M","L","-"},0),VLOOKUP(D740,Menu!$A$2:$F$105,3,0),VLOOKUP(D740,Menu!$A$2:$F$105,4,0),VLOOKUP(D740,Menu!$A$2:$F$105,5,0),VLOOKUP(D740,Menu!$A$2:$F$105,6,0)),"N/A"))</f>
        <v>209</v>
      </c>
      <c r="H740" s="17">
        <f t="shared" si="2"/>
        <v>209</v>
      </c>
      <c r="I740" s="17">
        <f t="shared" si="4"/>
        <v>636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8">
        <v>45277.0</v>
      </c>
      <c r="B741" s="19" t="str">
        <f t="shared" si="1"/>
        <v>Sunday</v>
      </c>
      <c r="C741" s="19" t="str">
        <f>IF(D741="","",VLOOKUP(D741,Menu!$A$2:$B$105,2,0))</f>
        <v>Beverage</v>
      </c>
      <c r="D741" s="19" t="s">
        <v>63</v>
      </c>
      <c r="E741" s="19" t="s">
        <v>5</v>
      </c>
      <c r="F741" s="19">
        <v>1.0</v>
      </c>
      <c r="G741" s="19">
        <f t="array" ref="G741">IF(OR(D741="",E741=""),"",IFERROR(CHOOSE(MATCH(E741,{"S","M","L","-"},0),VLOOKUP(D741,Menu!$A$2:$F$105,3,0),VLOOKUP(D741,Menu!$A$2:$F$105,4,0),VLOOKUP(D741,Menu!$A$2:$F$105,5,0),VLOOKUP(D741,Menu!$A$2:$F$105,6,0)),"N/A"))</f>
        <v>20</v>
      </c>
      <c r="H741" s="19">
        <f t="shared" si="2"/>
        <v>20</v>
      </c>
      <c r="I741" s="19">
        <f t="shared" si="4"/>
        <v>1503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8">
        <v>45277.0</v>
      </c>
      <c r="B742" s="19" t="str">
        <f t="shared" si="1"/>
        <v>Sunday</v>
      </c>
      <c r="C742" s="19" t="str">
        <f>IF(D742="","",VLOOKUP(D742,Menu!$A$2:$B$105,2,0))</f>
        <v>Pizza</v>
      </c>
      <c r="D742" s="19" t="s">
        <v>18</v>
      </c>
      <c r="E742" s="19" t="s">
        <v>2</v>
      </c>
      <c r="F742" s="19">
        <v>2.0</v>
      </c>
      <c r="G742" s="19">
        <f t="array" ref="G742">IF(OR(D742="",E742=""),"",IFERROR(CHOOSE(MATCH(E742,{"S","M","L","-"},0),VLOOKUP(D742,Menu!$A$2:$F$105,3,0),VLOOKUP(D742,Menu!$A$2:$F$105,4,0),VLOOKUP(D742,Menu!$A$2:$F$105,5,0),VLOOKUP(D742,Menu!$A$2:$F$105,6,0)),"N/A"))</f>
        <v>109</v>
      </c>
      <c r="H742" s="19">
        <f t="shared" si="2"/>
        <v>218</v>
      </c>
      <c r="I742" s="19">
        <f t="shared" si="4"/>
        <v>1503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8">
        <v>45277.0</v>
      </c>
      <c r="B743" s="19" t="str">
        <f t="shared" si="1"/>
        <v>Sunday</v>
      </c>
      <c r="C743" s="19" t="str">
        <f>IF(D743="","",VLOOKUP(D743,Menu!$A$2:$B$105,2,0))</f>
        <v>Pizza</v>
      </c>
      <c r="D743" s="19" t="s">
        <v>6</v>
      </c>
      <c r="E743" s="19" t="s">
        <v>2</v>
      </c>
      <c r="F743" s="19">
        <v>5.0</v>
      </c>
      <c r="G743" s="19">
        <f t="array" ref="G743">IF(OR(D743="",E743=""),"",IFERROR(CHOOSE(MATCH(E743,{"S","M","L","-"},0),VLOOKUP(D743,Menu!$A$2:$F$105,3,0),VLOOKUP(D743,Menu!$A$2:$F$105,4,0),VLOOKUP(D743,Menu!$A$2:$F$105,5,0),VLOOKUP(D743,Menu!$A$2:$F$105,6,0)),"N/A"))</f>
        <v>49</v>
      </c>
      <c r="H743" s="19">
        <f t="shared" si="2"/>
        <v>245</v>
      </c>
      <c r="I743" s="19">
        <f t="shared" si="4"/>
        <v>1503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8">
        <v>45277.0</v>
      </c>
      <c r="B744" s="19" t="str">
        <f t="shared" si="1"/>
        <v>Sunday</v>
      </c>
      <c r="C744" s="19" t="str">
        <f>IF(D744="","",VLOOKUP(D744,Menu!$A$2:$B$105,2,0))</f>
        <v>Pizza</v>
      </c>
      <c r="D744" s="19" t="s">
        <v>26</v>
      </c>
      <c r="E744" s="19" t="s">
        <v>5</v>
      </c>
      <c r="F744" s="19">
        <v>1.0</v>
      </c>
      <c r="G744" s="19">
        <f t="array" ref="G744">IF(OR(D744="",E744=""),"",IFERROR(CHOOSE(MATCH(E744,{"S","M","L","-"},0),VLOOKUP(D744,Menu!$A$2:$F$105,3,0),VLOOKUP(D744,Menu!$A$2:$F$105,4,0),VLOOKUP(D744,Menu!$A$2:$F$105,5,0),VLOOKUP(D744,Menu!$A$2:$F$105,6,0)),"N/A"))</f>
        <v>99</v>
      </c>
      <c r="H744" s="19">
        <f t="shared" si="2"/>
        <v>99</v>
      </c>
      <c r="I744" s="19">
        <f t="shared" si="4"/>
        <v>1503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8">
        <v>45277.0</v>
      </c>
      <c r="B745" s="19" t="str">
        <f t="shared" si="1"/>
        <v>Sunday</v>
      </c>
      <c r="C745" s="19" t="str">
        <f>IF(D745="","",VLOOKUP(D745,Menu!$A$2:$B$105,2,0))</f>
        <v>Pizza</v>
      </c>
      <c r="D745" s="19" t="s">
        <v>8</v>
      </c>
      <c r="E745" s="19" t="s">
        <v>2</v>
      </c>
      <c r="F745" s="19">
        <v>3.0</v>
      </c>
      <c r="G745" s="19">
        <f t="array" ref="G745">IF(OR(D745="",E745=""),"",IFERROR(CHOOSE(MATCH(E745,{"S","M","L","-"},0),VLOOKUP(D745,Menu!$A$2:$F$105,3,0),VLOOKUP(D745,Menu!$A$2:$F$105,4,0),VLOOKUP(D745,Menu!$A$2:$F$105,5,0),VLOOKUP(D745,Menu!$A$2:$F$105,6,0)),"N/A"))</f>
        <v>59</v>
      </c>
      <c r="H745" s="19">
        <f t="shared" si="2"/>
        <v>177</v>
      </c>
      <c r="I745" s="19">
        <f t="shared" si="4"/>
        <v>1503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8">
        <v>45277.0</v>
      </c>
      <c r="B746" s="19" t="str">
        <f t="shared" si="1"/>
        <v>Sunday</v>
      </c>
      <c r="C746" s="19" t="str">
        <f>IF(D746="","",VLOOKUP(D746,Menu!$A$2:$B$105,2,0))</f>
        <v>Pizza</v>
      </c>
      <c r="D746" s="19" t="s">
        <v>15</v>
      </c>
      <c r="E746" s="19" t="s">
        <v>3</v>
      </c>
      <c r="F746" s="19">
        <v>1.0</v>
      </c>
      <c r="G746" s="19">
        <f t="array" ref="G746">IF(OR(D746="",E746=""),"",IFERROR(CHOOSE(MATCH(E746,{"S","M","L","-"},0),VLOOKUP(D746,Menu!$A$2:$F$105,3,0),VLOOKUP(D746,Menu!$A$2:$F$105,4,0),VLOOKUP(D746,Menu!$A$2:$F$105,5,0),VLOOKUP(D746,Menu!$A$2:$F$105,6,0)),"N/A"))</f>
        <v>149</v>
      </c>
      <c r="H746" s="19">
        <f t="shared" si="2"/>
        <v>149</v>
      </c>
      <c r="I746" s="19">
        <f t="shared" si="4"/>
        <v>1503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8">
        <v>45277.0</v>
      </c>
      <c r="B747" s="19" t="str">
        <f t="shared" si="1"/>
        <v>Sunday</v>
      </c>
      <c r="C747" s="19" t="str">
        <f>IF(D747="","",VLOOKUP(D747,Menu!$A$2:$B$105,2,0))</f>
        <v>Pizza</v>
      </c>
      <c r="D747" s="19" t="s">
        <v>20</v>
      </c>
      <c r="E747" s="19" t="s">
        <v>4</v>
      </c>
      <c r="F747" s="19">
        <v>1.0</v>
      </c>
      <c r="G747" s="19">
        <f t="array" ref="G747">IF(OR(D747="",E747=""),"",IFERROR(CHOOSE(MATCH(E747,{"S","M","L","-"},0),VLOOKUP(D747,Menu!$A$2:$F$105,3,0),VLOOKUP(D747,Menu!$A$2:$F$105,4,0),VLOOKUP(D747,Menu!$A$2:$F$105,5,0),VLOOKUP(D747,Menu!$A$2:$F$105,6,0)),"N/A"))</f>
        <v>299</v>
      </c>
      <c r="H747" s="19">
        <f t="shared" si="2"/>
        <v>299</v>
      </c>
      <c r="I747" s="19">
        <f t="shared" si="4"/>
        <v>1503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8">
        <v>45277.0</v>
      </c>
      <c r="B748" s="19" t="str">
        <f t="shared" si="1"/>
        <v>Sunday</v>
      </c>
      <c r="C748" s="19" t="str">
        <f>IF(D748="","",VLOOKUP(D748,Menu!$A$2:$B$105,2,0))</f>
        <v>Burger</v>
      </c>
      <c r="D748" s="19" t="s">
        <v>27</v>
      </c>
      <c r="E748" s="19" t="s">
        <v>5</v>
      </c>
      <c r="F748" s="19">
        <v>1.0</v>
      </c>
      <c r="G748" s="19">
        <f t="array" ref="G748">IF(OR(D748="",E748=""),"",IFERROR(CHOOSE(MATCH(E748,{"S","M","L","-"},0),VLOOKUP(D748,Menu!$A$2:$F$105,3,0),VLOOKUP(D748,Menu!$A$2:$F$105,4,0),VLOOKUP(D748,Menu!$A$2:$F$105,5,0),VLOOKUP(D748,Menu!$A$2:$F$105,6,0)),"N/A"))</f>
        <v>39</v>
      </c>
      <c r="H748" s="19">
        <f t="shared" si="2"/>
        <v>39</v>
      </c>
      <c r="I748" s="19">
        <f t="shared" si="4"/>
        <v>1503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8">
        <v>45277.0</v>
      </c>
      <c r="B749" s="19" t="str">
        <f t="shared" si="1"/>
        <v>Sunday</v>
      </c>
      <c r="C749" s="19" t="str">
        <f>IF(D749="","",VLOOKUP(D749,Menu!$A$2:$B$105,2,0))</f>
        <v>Pizza</v>
      </c>
      <c r="D749" s="19" t="s">
        <v>8</v>
      </c>
      <c r="E749" s="19" t="s">
        <v>3</v>
      </c>
      <c r="F749" s="19">
        <v>1.0</v>
      </c>
      <c r="G749" s="19">
        <f t="array" ref="G749">IF(OR(D749="",E749=""),"",IFERROR(CHOOSE(MATCH(E749,{"S","M","L","-"},0),VLOOKUP(D749,Menu!$A$2:$F$105,3,0),VLOOKUP(D749,Menu!$A$2:$F$105,4,0),VLOOKUP(D749,Menu!$A$2:$F$105,5,0),VLOOKUP(D749,Menu!$A$2:$F$105,6,0)),"N/A"))</f>
        <v>109</v>
      </c>
      <c r="H749" s="19">
        <f t="shared" si="2"/>
        <v>109</v>
      </c>
      <c r="I749" s="19">
        <f t="shared" si="4"/>
        <v>1503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8">
        <v>45277.0</v>
      </c>
      <c r="B750" s="19" t="str">
        <f t="shared" si="1"/>
        <v>Sunday</v>
      </c>
      <c r="C750" s="19" t="str">
        <f>IF(D750="","",VLOOKUP(D750,Menu!$A$2:$B$105,2,0))</f>
        <v>Pizza</v>
      </c>
      <c r="D750" s="19" t="s">
        <v>11</v>
      </c>
      <c r="E750" s="19" t="s">
        <v>2</v>
      </c>
      <c r="F750" s="19">
        <v>1.0</v>
      </c>
      <c r="G750" s="19">
        <f t="array" ref="G750">IF(OR(D750="",E750=""),"",IFERROR(CHOOSE(MATCH(E750,{"S","M","L","-"},0),VLOOKUP(D750,Menu!$A$2:$F$105,3,0),VLOOKUP(D750,Menu!$A$2:$F$105,4,0),VLOOKUP(D750,Menu!$A$2:$F$105,5,0),VLOOKUP(D750,Menu!$A$2:$F$105,6,0)),"N/A"))</f>
        <v>69</v>
      </c>
      <c r="H750" s="19">
        <f t="shared" si="2"/>
        <v>69</v>
      </c>
      <c r="I750" s="19">
        <f t="shared" si="4"/>
        <v>1503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8">
        <v>45277.0</v>
      </c>
      <c r="B751" s="19" t="str">
        <f t="shared" si="1"/>
        <v>Sunday</v>
      </c>
      <c r="C751" s="19" t="str">
        <f>IF(D751="","",VLOOKUP(D751,Menu!$A$2:$B$105,2,0))</f>
        <v>Pizza</v>
      </c>
      <c r="D751" s="19" t="s">
        <v>13</v>
      </c>
      <c r="E751" s="19" t="s">
        <v>2</v>
      </c>
      <c r="F751" s="19">
        <v>1.0</v>
      </c>
      <c r="G751" s="19">
        <f t="array" ref="G751">IF(OR(D751="",E751=""),"",IFERROR(CHOOSE(MATCH(E751,{"S","M","L","-"},0),VLOOKUP(D751,Menu!$A$2:$F$105,3,0),VLOOKUP(D751,Menu!$A$2:$F$105,4,0),VLOOKUP(D751,Menu!$A$2:$F$105,5,0),VLOOKUP(D751,Menu!$A$2:$F$105,6,0)),"N/A"))</f>
        <v>79</v>
      </c>
      <c r="H751" s="19">
        <f t="shared" si="2"/>
        <v>79</v>
      </c>
      <c r="I751" s="19">
        <f t="shared" si="4"/>
        <v>1503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6">
        <v>45278.0</v>
      </c>
      <c r="B752" s="17" t="str">
        <f t="shared" si="1"/>
        <v>Monday</v>
      </c>
      <c r="C752" s="17" t="str">
        <f>IF(D752="","",VLOOKUP(D752,Menu!$A$2:$B$105,2,0))</f>
        <v>Burger</v>
      </c>
      <c r="D752" s="17" t="s">
        <v>27</v>
      </c>
      <c r="E752" s="17" t="s">
        <v>5</v>
      </c>
      <c r="F752" s="17">
        <v>5.0</v>
      </c>
      <c r="G752" s="17">
        <f t="array" ref="G752">IF(OR(D752="",E752=""),"",IFERROR(CHOOSE(MATCH(E752,{"S","M","L","-"},0),VLOOKUP(D752,Menu!$A$2:$F$105,3,0),VLOOKUP(D752,Menu!$A$2:$F$105,4,0),VLOOKUP(D752,Menu!$A$2:$F$105,5,0),VLOOKUP(D752,Menu!$A$2:$F$105,6,0)),"N/A"))</f>
        <v>39</v>
      </c>
      <c r="H752" s="17">
        <f t="shared" si="2"/>
        <v>195</v>
      </c>
      <c r="I752" s="17">
        <f t="shared" si="4"/>
        <v>304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6">
        <v>45278.0</v>
      </c>
      <c r="B753" s="17" t="str">
        <f t="shared" si="1"/>
        <v>Monday</v>
      </c>
      <c r="C753" s="17" t="str">
        <f>IF(D753="","",VLOOKUP(D753,Menu!$A$2:$B$105,2,0))</f>
        <v>Pizza</v>
      </c>
      <c r="D753" s="17" t="s">
        <v>18</v>
      </c>
      <c r="E753" s="17" t="s">
        <v>2</v>
      </c>
      <c r="F753" s="17">
        <v>1.0</v>
      </c>
      <c r="G753" s="17">
        <f t="array" ref="G753">IF(OR(D753="",E753=""),"",IFERROR(CHOOSE(MATCH(E753,{"S","M","L","-"},0),VLOOKUP(D753,Menu!$A$2:$F$105,3,0),VLOOKUP(D753,Menu!$A$2:$F$105,4,0),VLOOKUP(D753,Menu!$A$2:$F$105,5,0),VLOOKUP(D753,Menu!$A$2:$F$105,6,0)),"N/A"))</f>
        <v>109</v>
      </c>
      <c r="H753" s="17">
        <f t="shared" si="2"/>
        <v>109</v>
      </c>
      <c r="I753" s="17">
        <f t="shared" si="4"/>
        <v>304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8">
        <v>45279.0</v>
      </c>
      <c r="B754" s="19" t="str">
        <f t="shared" si="1"/>
        <v>Tuesday</v>
      </c>
      <c r="C754" s="19" t="str">
        <f>IF(D754="","",VLOOKUP(D754,Menu!$A$2:$B$105,2,0))</f>
        <v>Pizza</v>
      </c>
      <c r="D754" s="19" t="s">
        <v>10</v>
      </c>
      <c r="E754" s="19" t="s">
        <v>2</v>
      </c>
      <c r="F754" s="19">
        <v>1.0</v>
      </c>
      <c r="G754" s="19">
        <f t="array" ref="G754">IF(OR(D754="",E754=""),"",IFERROR(CHOOSE(MATCH(E754,{"S","M","L","-"},0),VLOOKUP(D754,Menu!$A$2:$F$105,3,0),VLOOKUP(D754,Menu!$A$2:$F$105,4,0),VLOOKUP(D754,Menu!$A$2:$F$105,5,0),VLOOKUP(D754,Menu!$A$2:$F$105,6,0)),"N/A"))</f>
        <v>59</v>
      </c>
      <c r="H754" s="19">
        <f t="shared" si="2"/>
        <v>59</v>
      </c>
      <c r="I754" s="19">
        <f t="shared" si="4"/>
        <v>575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8">
        <v>45279.0</v>
      </c>
      <c r="B755" s="19" t="str">
        <f t="shared" si="1"/>
        <v>Tuesday</v>
      </c>
      <c r="C755" s="19" t="str">
        <f>IF(D755="","",VLOOKUP(D755,Menu!$A$2:$B$105,2,0))</f>
        <v>Burger</v>
      </c>
      <c r="D755" s="19" t="s">
        <v>27</v>
      </c>
      <c r="E755" s="19" t="s">
        <v>5</v>
      </c>
      <c r="F755" s="19">
        <v>1.0</v>
      </c>
      <c r="G755" s="19">
        <f t="array" ref="G755">IF(OR(D755="",E755=""),"",IFERROR(CHOOSE(MATCH(E755,{"S","M","L","-"},0),VLOOKUP(D755,Menu!$A$2:$F$105,3,0),VLOOKUP(D755,Menu!$A$2:$F$105,4,0),VLOOKUP(D755,Menu!$A$2:$F$105,5,0),VLOOKUP(D755,Menu!$A$2:$F$105,6,0)),"N/A"))</f>
        <v>39</v>
      </c>
      <c r="H755" s="19">
        <f t="shared" si="2"/>
        <v>39</v>
      </c>
      <c r="I755" s="19">
        <f t="shared" si="4"/>
        <v>575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8">
        <v>45279.0</v>
      </c>
      <c r="B756" s="19" t="str">
        <f t="shared" si="1"/>
        <v>Tuesday</v>
      </c>
      <c r="C756" s="19" t="str">
        <f>IF(D756="","",VLOOKUP(D756,Menu!$A$2:$B$105,2,0))</f>
        <v>Pizza</v>
      </c>
      <c r="D756" s="19" t="s">
        <v>18</v>
      </c>
      <c r="E756" s="19" t="s">
        <v>2</v>
      </c>
      <c r="F756" s="19">
        <v>1.0</v>
      </c>
      <c r="G756" s="19">
        <f t="array" ref="G756">IF(OR(D756="",E756=""),"",IFERROR(CHOOSE(MATCH(E756,{"S","M","L","-"},0),VLOOKUP(D756,Menu!$A$2:$F$105,3,0),VLOOKUP(D756,Menu!$A$2:$F$105,4,0),VLOOKUP(D756,Menu!$A$2:$F$105,5,0),VLOOKUP(D756,Menu!$A$2:$F$105,6,0)),"N/A"))</f>
        <v>109</v>
      </c>
      <c r="H756" s="19">
        <f t="shared" si="2"/>
        <v>109</v>
      </c>
      <c r="I756" s="19">
        <f t="shared" si="4"/>
        <v>575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8">
        <v>45279.0</v>
      </c>
      <c r="B757" s="19" t="str">
        <f t="shared" si="1"/>
        <v>Tuesday</v>
      </c>
      <c r="C757" s="19" t="str">
        <f>IF(D757="","",VLOOKUP(D757,Menu!$A$2:$B$105,2,0))</f>
        <v>Pizza</v>
      </c>
      <c r="D757" s="19" t="s">
        <v>18</v>
      </c>
      <c r="E757" s="19" t="s">
        <v>4</v>
      </c>
      <c r="F757" s="19">
        <v>1.0</v>
      </c>
      <c r="G757" s="19">
        <f t="array" ref="G757">IF(OR(D757="",E757=""),"",IFERROR(CHOOSE(MATCH(E757,{"S","M","L","-"},0),VLOOKUP(D757,Menu!$A$2:$F$105,3,0),VLOOKUP(D757,Menu!$A$2:$F$105,4,0),VLOOKUP(D757,Menu!$A$2:$F$105,5,0),VLOOKUP(D757,Menu!$A$2:$F$105,6,0)),"N/A"))</f>
        <v>299</v>
      </c>
      <c r="H757" s="19">
        <f t="shared" si="2"/>
        <v>299</v>
      </c>
      <c r="I757" s="19">
        <f t="shared" si="4"/>
        <v>575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8">
        <v>45279.0</v>
      </c>
      <c r="B758" s="19" t="str">
        <f t="shared" si="1"/>
        <v>Tuesday</v>
      </c>
      <c r="C758" s="19" t="str">
        <f>IF(D758="","",VLOOKUP(D758,Menu!$A$2:$B$105,2,0))</f>
        <v>Pizza</v>
      </c>
      <c r="D758" s="19" t="s">
        <v>11</v>
      </c>
      <c r="E758" s="19" t="s">
        <v>2</v>
      </c>
      <c r="F758" s="19">
        <v>1.0</v>
      </c>
      <c r="G758" s="19">
        <f t="array" ref="G758">IF(OR(D758="",E758=""),"",IFERROR(CHOOSE(MATCH(E758,{"S","M","L","-"},0),VLOOKUP(D758,Menu!$A$2:$F$105,3,0),VLOOKUP(D758,Menu!$A$2:$F$105,4,0),VLOOKUP(D758,Menu!$A$2:$F$105,5,0),VLOOKUP(D758,Menu!$A$2:$F$105,6,0)),"N/A"))</f>
        <v>69</v>
      </c>
      <c r="H758" s="19">
        <f t="shared" si="2"/>
        <v>69</v>
      </c>
      <c r="I758" s="19">
        <f t="shared" si="4"/>
        <v>575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6">
        <v>45281.0</v>
      </c>
      <c r="B759" s="17" t="str">
        <f t="shared" si="1"/>
        <v>Thursday</v>
      </c>
      <c r="C759" s="17" t="str">
        <f>IF(D759="","",VLOOKUP(D759,Menu!$A$2:$B$105,2,0))</f>
        <v>Pizza</v>
      </c>
      <c r="D759" s="17" t="s">
        <v>11</v>
      </c>
      <c r="E759" s="17" t="s">
        <v>2</v>
      </c>
      <c r="F759" s="17">
        <v>3.0</v>
      </c>
      <c r="G759" s="17">
        <f t="array" ref="G759">IF(OR(D759="",E759=""),"",IFERROR(CHOOSE(MATCH(E759,{"S","M","L","-"},0),VLOOKUP(D759,Menu!$A$2:$F$105,3,0),VLOOKUP(D759,Menu!$A$2:$F$105,4,0),VLOOKUP(D759,Menu!$A$2:$F$105,5,0),VLOOKUP(D759,Menu!$A$2:$F$105,6,0)),"N/A"))</f>
        <v>69</v>
      </c>
      <c r="H759" s="17">
        <f t="shared" si="2"/>
        <v>207</v>
      </c>
      <c r="I759" s="17">
        <f t="shared" si="4"/>
        <v>564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6">
        <v>45281.0</v>
      </c>
      <c r="B760" s="17" t="str">
        <f t="shared" si="1"/>
        <v>Thursday</v>
      </c>
      <c r="C760" s="17" t="str">
        <f>IF(D760="","",VLOOKUP(D760,Menu!$A$2:$B$105,2,0))</f>
        <v>Pizza</v>
      </c>
      <c r="D760" s="17" t="s">
        <v>8</v>
      </c>
      <c r="E760" s="17" t="s">
        <v>2</v>
      </c>
      <c r="F760" s="17">
        <v>1.0</v>
      </c>
      <c r="G760" s="17">
        <f t="array" ref="G760">IF(OR(D760="",E760=""),"",IFERROR(CHOOSE(MATCH(E760,{"S","M","L","-"},0),VLOOKUP(D760,Menu!$A$2:$F$105,3,0),VLOOKUP(D760,Menu!$A$2:$F$105,4,0),VLOOKUP(D760,Menu!$A$2:$F$105,5,0),VLOOKUP(D760,Menu!$A$2:$F$105,6,0)),"N/A"))</f>
        <v>59</v>
      </c>
      <c r="H760" s="17">
        <f t="shared" si="2"/>
        <v>59</v>
      </c>
      <c r="I760" s="17">
        <f t="shared" si="4"/>
        <v>564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6">
        <v>45281.0</v>
      </c>
      <c r="B761" s="17" t="str">
        <f t="shared" si="1"/>
        <v>Thursday</v>
      </c>
      <c r="C761" s="17" t="str">
        <f>IF(D761="","",VLOOKUP(D761,Menu!$A$2:$B$105,2,0))</f>
        <v>Pizza</v>
      </c>
      <c r="D761" s="17" t="s">
        <v>8</v>
      </c>
      <c r="E761" s="17" t="s">
        <v>4</v>
      </c>
      <c r="F761" s="17">
        <v>1.0</v>
      </c>
      <c r="G761" s="17">
        <f t="array" ref="G761">IF(OR(D761="",E761=""),"",IFERROR(CHOOSE(MATCH(E761,{"S","M","L","-"},0),VLOOKUP(D761,Menu!$A$2:$F$105,3,0),VLOOKUP(D761,Menu!$A$2:$F$105,4,0),VLOOKUP(D761,Menu!$A$2:$F$105,5,0),VLOOKUP(D761,Menu!$A$2:$F$105,6,0)),"N/A"))</f>
        <v>199</v>
      </c>
      <c r="H761" s="17">
        <f t="shared" si="2"/>
        <v>199</v>
      </c>
      <c r="I761" s="17">
        <f t="shared" si="4"/>
        <v>564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6">
        <v>45281.0</v>
      </c>
      <c r="B762" s="17" t="str">
        <f t="shared" si="1"/>
        <v>Thursday</v>
      </c>
      <c r="C762" s="17" t="str">
        <f>IF(D762="","",VLOOKUP(D762,Menu!$A$2:$B$105,2,0))</f>
        <v>Pizza</v>
      </c>
      <c r="D762" s="17" t="s">
        <v>26</v>
      </c>
      <c r="E762" s="17" t="s">
        <v>5</v>
      </c>
      <c r="F762" s="17">
        <v>1.0</v>
      </c>
      <c r="G762" s="17">
        <f t="array" ref="G762">IF(OR(D762="",E762=""),"",IFERROR(CHOOSE(MATCH(E762,{"S","M","L","-"},0),VLOOKUP(D762,Menu!$A$2:$F$105,3,0),VLOOKUP(D762,Menu!$A$2:$F$105,4,0),VLOOKUP(D762,Menu!$A$2:$F$105,5,0),VLOOKUP(D762,Menu!$A$2:$F$105,6,0)),"N/A"))</f>
        <v>99</v>
      </c>
      <c r="H762" s="17">
        <f t="shared" si="2"/>
        <v>99</v>
      </c>
      <c r="I762" s="17">
        <f t="shared" si="4"/>
        <v>564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8">
        <v>45282.0</v>
      </c>
      <c r="B763" s="19" t="str">
        <f t="shared" si="1"/>
        <v>Friday</v>
      </c>
      <c r="C763" s="19" t="str">
        <f>IF(D763="","",VLOOKUP(D763,Menu!$A$2:$B$105,2,0))</f>
        <v>Pizza</v>
      </c>
      <c r="D763" s="19" t="s">
        <v>18</v>
      </c>
      <c r="E763" s="19" t="s">
        <v>2</v>
      </c>
      <c r="F763" s="19">
        <v>1.0</v>
      </c>
      <c r="G763" s="19">
        <f t="array" ref="G763">IF(OR(D763="",E763=""),"",IFERROR(CHOOSE(MATCH(E763,{"S","M","L","-"},0),VLOOKUP(D763,Menu!$A$2:$F$105,3,0),VLOOKUP(D763,Menu!$A$2:$F$105,4,0),VLOOKUP(D763,Menu!$A$2:$F$105,5,0),VLOOKUP(D763,Menu!$A$2:$F$105,6,0)),"N/A"))</f>
        <v>109</v>
      </c>
      <c r="H763" s="19">
        <f t="shared" si="2"/>
        <v>109</v>
      </c>
      <c r="I763" s="19">
        <f t="shared" si="4"/>
        <v>257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8">
        <v>45282.0</v>
      </c>
      <c r="B764" s="19" t="str">
        <f t="shared" si="1"/>
        <v>Friday</v>
      </c>
      <c r="C764" s="19" t="str">
        <f>IF(D764="","",VLOOKUP(D764,Menu!$A$2:$B$105,2,0))</f>
        <v>Pizza</v>
      </c>
      <c r="D764" s="19" t="s">
        <v>11</v>
      </c>
      <c r="E764" s="19" t="s">
        <v>3</v>
      </c>
      <c r="F764" s="19">
        <v>1.0</v>
      </c>
      <c r="G764" s="19">
        <f t="array" ref="G764">IF(OR(D764="",E764=""),"",IFERROR(CHOOSE(MATCH(E764,{"S","M","L","-"},0),VLOOKUP(D764,Menu!$A$2:$F$105,3,0),VLOOKUP(D764,Menu!$A$2:$F$105,4,0),VLOOKUP(D764,Menu!$A$2:$F$105,5,0),VLOOKUP(D764,Menu!$A$2:$F$105,6,0)),"N/A"))</f>
        <v>109</v>
      </c>
      <c r="H764" s="19">
        <f t="shared" si="2"/>
        <v>109</v>
      </c>
      <c r="I764" s="19">
        <f t="shared" si="4"/>
        <v>257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8">
        <v>45282.0</v>
      </c>
      <c r="B765" s="19" t="str">
        <f t="shared" si="1"/>
        <v>Friday</v>
      </c>
      <c r="C765" s="19" t="str">
        <f>IF(D765="","",VLOOKUP(D765,Menu!$A$2:$B$105,2,0))</f>
        <v>Burger</v>
      </c>
      <c r="D765" s="19" t="s">
        <v>27</v>
      </c>
      <c r="E765" s="19" t="s">
        <v>5</v>
      </c>
      <c r="F765" s="19">
        <v>1.0</v>
      </c>
      <c r="G765" s="19">
        <f t="array" ref="G765">IF(OR(D765="",E765=""),"",IFERROR(CHOOSE(MATCH(E765,{"S","M","L","-"},0),VLOOKUP(D765,Menu!$A$2:$F$105,3,0),VLOOKUP(D765,Menu!$A$2:$F$105,4,0),VLOOKUP(D765,Menu!$A$2:$F$105,5,0),VLOOKUP(D765,Menu!$A$2:$F$105,6,0)),"N/A"))</f>
        <v>39</v>
      </c>
      <c r="H765" s="19">
        <f t="shared" si="2"/>
        <v>39</v>
      </c>
      <c r="I765" s="19">
        <f t="shared" si="4"/>
        <v>257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6">
        <v>45283.0</v>
      </c>
      <c r="B766" s="17" t="str">
        <f t="shared" si="1"/>
        <v>Saturday</v>
      </c>
      <c r="C766" s="17" t="str">
        <f>IF(D766="","",VLOOKUP(D766,Menu!$A$2:$B$105,2,0))</f>
        <v>Pizza</v>
      </c>
      <c r="D766" s="17" t="s">
        <v>9</v>
      </c>
      <c r="E766" s="17" t="s">
        <v>4</v>
      </c>
      <c r="F766" s="17">
        <v>1.0</v>
      </c>
      <c r="G766" s="17">
        <f t="array" ref="G766">IF(OR(D766="",E766=""),"",IFERROR(CHOOSE(MATCH(E766,{"S","M","L","-"},0),VLOOKUP(D766,Menu!$A$2:$F$105,3,0),VLOOKUP(D766,Menu!$A$2:$F$105,4,0),VLOOKUP(D766,Menu!$A$2:$F$105,5,0),VLOOKUP(D766,Menu!$A$2:$F$105,6,0)),"N/A"))</f>
        <v>199</v>
      </c>
      <c r="H766" s="17">
        <f t="shared" si="2"/>
        <v>199</v>
      </c>
      <c r="I766" s="17">
        <f t="shared" si="4"/>
        <v>1226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6">
        <v>45283.0</v>
      </c>
      <c r="B767" s="17" t="str">
        <f t="shared" si="1"/>
        <v>Saturday</v>
      </c>
      <c r="C767" s="17" t="str">
        <f>IF(D767="","",VLOOKUP(D767,Menu!$A$2:$B$105,2,0))</f>
        <v>Pizza</v>
      </c>
      <c r="D767" s="17" t="s">
        <v>10</v>
      </c>
      <c r="E767" s="17" t="s">
        <v>2</v>
      </c>
      <c r="F767" s="17">
        <v>1.0</v>
      </c>
      <c r="G767" s="17">
        <f t="array" ref="G767">IF(OR(D767="",E767=""),"",IFERROR(CHOOSE(MATCH(E767,{"S","M","L","-"},0),VLOOKUP(D767,Menu!$A$2:$F$105,3,0),VLOOKUP(D767,Menu!$A$2:$F$105,4,0),VLOOKUP(D767,Menu!$A$2:$F$105,5,0),VLOOKUP(D767,Menu!$A$2:$F$105,6,0)),"N/A"))</f>
        <v>59</v>
      </c>
      <c r="H767" s="17">
        <f t="shared" si="2"/>
        <v>59</v>
      </c>
      <c r="I767" s="17">
        <f t="shared" si="4"/>
        <v>1226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6">
        <v>45283.0</v>
      </c>
      <c r="B768" s="17" t="str">
        <f t="shared" si="1"/>
        <v>Saturday</v>
      </c>
      <c r="C768" s="17" t="str">
        <f>IF(D768="","",VLOOKUP(D768,Menu!$A$2:$B$105,2,0))</f>
        <v>Pizza</v>
      </c>
      <c r="D768" s="17" t="s">
        <v>8</v>
      </c>
      <c r="E768" s="17" t="s">
        <v>2</v>
      </c>
      <c r="F768" s="17">
        <v>1.0</v>
      </c>
      <c r="G768" s="17">
        <f t="array" ref="G768">IF(OR(D768="",E768=""),"",IFERROR(CHOOSE(MATCH(E768,{"S","M","L","-"},0),VLOOKUP(D768,Menu!$A$2:$F$105,3,0),VLOOKUP(D768,Menu!$A$2:$F$105,4,0),VLOOKUP(D768,Menu!$A$2:$F$105,5,0),VLOOKUP(D768,Menu!$A$2:$F$105,6,0)),"N/A"))</f>
        <v>59</v>
      </c>
      <c r="H768" s="17">
        <f t="shared" si="2"/>
        <v>59</v>
      </c>
      <c r="I768" s="17">
        <f t="shared" si="4"/>
        <v>1226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6">
        <v>45283.0</v>
      </c>
      <c r="B769" s="17" t="str">
        <f t="shared" si="1"/>
        <v>Saturday</v>
      </c>
      <c r="C769" s="17" t="str">
        <f>IF(D769="","",VLOOKUP(D769,Menu!$A$2:$B$105,2,0))</f>
        <v>Burger</v>
      </c>
      <c r="D769" s="17" t="s">
        <v>27</v>
      </c>
      <c r="E769" s="17" t="s">
        <v>5</v>
      </c>
      <c r="F769" s="17">
        <v>3.0</v>
      </c>
      <c r="G769" s="17">
        <f t="array" ref="G769">IF(OR(D769="",E769=""),"",IFERROR(CHOOSE(MATCH(E769,{"S","M","L","-"},0),VLOOKUP(D769,Menu!$A$2:$F$105,3,0),VLOOKUP(D769,Menu!$A$2:$F$105,4,0),VLOOKUP(D769,Menu!$A$2:$F$105,5,0),VLOOKUP(D769,Menu!$A$2:$F$105,6,0)),"N/A"))</f>
        <v>39</v>
      </c>
      <c r="H769" s="17">
        <f t="shared" si="2"/>
        <v>117</v>
      </c>
      <c r="I769" s="17">
        <f t="shared" si="4"/>
        <v>1226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6">
        <v>45283.0</v>
      </c>
      <c r="B770" s="17" t="str">
        <f t="shared" si="1"/>
        <v>Saturday</v>
      </c>
      <c r="C770" s="17" t="str">
        <f>IF(D770="","",VLOOKUP(D770,Menu!$A$2:$B$105,2,0))</f>
        <v>Pizza</v>
      </c>
      <c r="D770" s="17" t="s">
        <v>6</v>
      </c>
      <c r="E770" s="17" t="s">
        <v>2</v>
      </c>
      <c r="F770" s="17">
        <v>4.0</v>
      </c>
      <c r="G770" s="17">
        <f t="array" ref="G770">IF(OR(D770="",E770=""),"",IFERROR(CHOOSE(MATCH(E770,{"S","M","L","-"},0),VLOOKUP(D770,Menu!$A$2:$F$105,3,0),VLOOKUP(D770,Menu!$A$2:$F$105,4,0),VLOOKUP(D770,Menu!$A$2:$F$105,5,0),VLOOKUP(D770,Menu!$A$2:$F$105,6,0)),"N/A"))</f>
        <v>49</v>
      </c>
      <c r="H770" s="17">
        <f t="shared" si="2"/>
        <v>196</v>
      </c>
      <c r="I770" s="17">
        <f t="shared" si="4"/>
        <v>1226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6">
        <v>45283.0</v>
      </c>
      <c r="B771" s="17" t="str">
        <f t="shared" si="1"/>
        <v>Saturday</v>
      </c>
      <c r="C771" s="17" t="str">
        <f>IF(D771="","",VLOOKUP(D771,Menu!$A$2:$B$105,2,0))</f>
        <v>Pizza</v>
      </c>
      <c r="D771" s="17" t="s">
        <v>20</v>
      </c>
      <c r="E771" s="17" t="s">
        <v>3</v>
      </c>
      <c r="F771" s="17">
        <v>1.0</v>
      </c>
      <c r="G771" s="17">
        <f t="array" ref="G771">IF(OR(D771="",E771=""),"",IFERROR(CHOOSE(MATCH(E771,{"S","M","L","-"},0),VLOOKUP(D771,Menu!$A$2:$F$105,3,0),VLOOKUP(D771,Menu!$A$2:$F$105,4,0),VLOOKUP(D771,Menu!$A$2:$F$105,5,0),VLOOKUP(D771,Menu!$A$2:$F$105,6,0)),"N/A"))</f>
        <v>199</v>
      </c>
      <c r="H771" s="17">
        <f t="shared" si="2"/>
        <v>199</v>
      </c>
      <c r="I771" s="17">
        <f t="shared" si="4"/>
        <v>1226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6">
        <v>45283.0</v>
      </c>
      <c r="B772" s="17" t="str">
        <f t="shared" si="1"/>
        <v>Saturday</v>
      </c>
      <c r="C772" s="17" t="str">
        <f>IF(D772="","",VLOOKUP(D772,Menu!$A$2:$B$105,2,0))</f>
        <v>Pizza</v>
      </c>
      <c r="D772" s="17" t="s">
        <v>8</v>
      </c>
      <c r="E772" s="17" t="s">
        <v>4</v>
      </c>
      <c r="F772" s="17">
        <v>1.0</v>
      </c>
      <c r="G772" s="17">
        <f t="array" ref="G772">IF(OR(D772="",E772=""),"",IFERROR(CHOOSE(MATCH(E772,{"S","M","L","-"},0),VLOOKUP(D772,Menu!$A$2:$F$105,3,0),VLOOKUP(D772,Menu!$A$2:$F$105,4,0),VLOOKUP(D772,Menu!$A$2:$F$105,5,0),VLOOKUP(D772,Menu!$A$2:$F$105,6,0)),"N/A"))</f>
        <v>199</v>
      </c>
      <c r="H772" s="17">
        <f t="shared" si="2"/>
        <v>199</v>
      </c>
      <c r="I772" s="17">
        <f t="shared" si="4"/>
        <v>1226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6">
        <v>45283.0</v>
      </c>
      <c r="B773" s="17" t="str">
        <f t="shared" si="1"/>
        <v>Saturday</v>
      </c>
      <c r="C773" s="17" t="str">
        <f>IF(D773="","",VLOOKUP(D773,Menu!$A$2:$B$105,2,0))</f>
        <v>Pizza</v>
      </c>
      <c r="D773" s="17" t="s">
        <v>26</v>
      </c>
      <c r="E773" s="17" t="s">
        <v>5</v>
      </c>
      <c r="F773" s="17">
        <v>2.0</v>
      </c>
      <c r="G773" s="17">
        <f t="array" ref="G773">IF(OR(D773="",E773=""),"",IFERROR(CHOOSE(MATCH(E773,{"S","M","L","-"},0),VLOOKUP(D773,Menu!$A$2:$F$105,3,0),VLOOKUP(D773,Menu!$A$2:$F$105,4,0),VLOOKUP(D773,Menu!$A$2:$F$105,5,0),VLOOKUP(D773,Menu!$A$2:$F$105,6,0)),"N/A"))</f>
        <v>99</v>
      </c>
      <c r="H773" s="17">
        <f t="shared" si="2"/>
        <v>198</v>
      </c>
      <c r="I773" s="17">
        <f t="shared" si="4"/>
        <v>1226</v>
      </c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8">
        <v>45284.0</v>
      </c>
      <c r="B774" s="19" t="str">
        <f t="shared" si="1"/>
        <v>Sunday</v>
      </c>
      <c r="C774" s="19" t="str">
        <f>IF(D774="","",VLOOKUP(D774,Menu!$A$2:$B$105,2,0))</f>
        <v>Pizza</v>
      </c>
      <c r="D774" s="19" t="s">
        <v>13</v>
      </c>
      <c r="E774" s="19" t="s">
        <v>3</v>
      </c>
      <c r="F774" s="19">
        <v>1.0</v>
      </c>
      <c r="G774" s="19">
        <f t="array" ref="G774">IF(OR(D774="",E774=""),"",IFERROR(CHOOSE(MATCH(E774,{"S","M","L","-"},0),VLOOKUP(D774,Menu!$A$2:$F$105,3,0),VLOOKUP(D774,Menu!$A$2:$F$105,4,0),VLOOKUP(D774,Menu!$A$2:$F$105,5,0),VLOOKUP(D774,Menu!$A$2:$F$105,6,0)),"N/A"))</f>
        <v>129</v>
      </c>
      <c r="H774" s="19">
        <f t="shared" si="2"/>
        <v>129</v>
      </c>
      <c r="I774" s="19">
        <f t="shared" si="4"/>
        <v>880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8">
        <v>45284.0</v>
      </c>
      <c r="B775" s="19" t="str">
        <f t="shared" si="1"/>
        <v>Sunday</v>
      </c>
      <c r="C775" s="19" t="str">
        <f>IF(D775="","",VLOOKUP(D775,Menu!$A$2:$B$105,2,0))</f>
        <v>Pizza</v>
      </c>
      <c r="D775" s="19" t="s">
        <v>18</v>
      </c>
      <c r="E775" s="19" t="s">
        <v>2</v>
      </c>
      <c r="F775" s="19">
        <v>1.0</v>
      </c>
      <c r="G775" s="19">
        <f t="array" ref="G775">IF(OR(D775="",E775=""),"",IFERROR(CHOOSE(MATCH(E775,{"S","M","L","-"},0),VLOOKUP(D775,Menu!$A$2:$F$105,3,0),VLOOKUP(D775,Menu!$A$2:$F$105,4,0),VLOOKUP(D775,Menu!$A$2:$F$105,5,0),VLOOKUP(D775,Menu!$A$2:$F$105,6,0)),"N/A"))</f>
        <v>109</v>
      </c>
      <c r="H775" s="19">
        <f t="shared" si="2"/>
        <v>109</v>
      </c>
      <c r="I775" s="19">
        <f t="shared" si="4"/>
        <v>880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8">
        <v>45284.0</v>
      </c>
      <c r="B776" s="19" t="str">
        <f t="shared" si="1"/>
        <v>Sunday</v>
      </c>
      <c r="C776" s="19" t="str">
        <f>IF(D776="","",VLOOKUP(D776,Menu!$A$2:$B$105,2,0))</f>
        <v>Shake</v>
      </c>
      <c r="D776" s="19" t="s">
        <v>38</v>
      </c>
      <c r="E776" s="19" t="s">
        <v>5</v>
      </c>
      <c r="F776" s="19">
        <v>1.0</v>
      </c>
      <c r="G776" s="19">
        <f t="array" ref="G776">IF(OR(D776="",E776=""),"",IFERROR(CHOOSE(MATCH(E776,{"S","M","L","-"},0),VLOOKUP(D776,Menu!$A$2:$F$105,3,0),VLOOKUP(D776,Menu!$A$2:$F$105,4,0),VLOOKUP(D776,Menu!$A$2:$F$105,5,0),VLOOKUP(D776,Menu!$A$2:$F$105,6,0)),"N/A"))</f>
        <v>70</v>
      </c>
      <c r="H776" s="19">
        <f t="shared" si="2"/>
        <v>70</v>
      </c>
      <c r="I776" s="19">
        <f t="shared" si="4"/>
        <v>880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8">
        <v>45284.0</v>
      </c>
      <c r="B777" s="19" t="str">
        <f t="shared" si="1"/>
        <v>Sunday</v>
      </c>
      <c r="C777" s="19" t="str">
        <f>IF(D777="","",VLOOKUP(D777,Menu!$A$2:$B$105,2,0))</f>
        <v>Pizza</v>
      </c>
      <c r="D777" s="19" t="s">
        <v>21</v>
      </c>
      <c r="E777" s="19" t="s">
        <v>3</v>
      </c>
      <c r="F777" s="19">
        <v>1.0</v>
      </c>
      <c r="G777" s="19">
        <f t="array" ref="G777">IF(OR(D777="",E777=""),"",IFERROR(CHOOSE(MATCH(E777,{"S","M","L","-"},0),VLOOKUP(D777,Menu!$A$2:$F$105,3,0),VLOOKUP(D777,Menu!$A$2:$F$105,4,0),VLOOKUP(D777,Menu!$A$2:$F$105,5,0),VLOOKUP(D777,Menu!$A$2:$F$105,6,0)),"N/A"))</f>
        <v>209</v>
      </c>
      <c r="H777" s="19">
        <f t="shared" si="2"/>
        <v>209</v>
      </c>
      <c r="I777" s="19">
        <f t="shared" si="4"/>
        <v>880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8">
        <v>45284.0</v>
      </c>
      <c r="B778" s="19" t="str">
        <f t="shared" si="1"/>
        <v>Sunday</v>
      </c>
      <c r="C778" s="19" t="str">
        <f>IF(D778="","",VLOOKUP(D778,Menu!$A$2:$B$105,2,0))</f>
        <v>Pizza</v>
      </c>
      <c r="D778" s="19" t="s">
        <v>6</v>
      </c>
      <c r="E778" s="19" t="s">
        <v>2</v>
      </c>
      <c r="F778" s="19">
        <v>5.0</v>
      </c>
      <c r="G778" s="19">
        <f t="array" ref="G778">IF(OR(D778="",E778=""),"",IFERROR(CHOOSE(MATCH(E778,{"S","M","L","-"},0),VLOOKUP(D778,Menu!$A$2:$F$105,3,0),VLOOKUP(D778,Menu!$A$2:$F$105,4,0),VLOOKUP(D778,Menu!$A$2:$F$105,5,0),VLOOKUP(D778,Menu!$A$2:$F$105,6,0)),"N/A"))</f>
        <v>49</v>
      </c>
      <c r="H778" s="19">
        <f t="shared" si="2"/>
        <v>245</v>
      </c>
      <c r="I778" s="19">
        <f t="shared" si="4"/>
        <v>880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8">
        <v>45284.0</v>
      </c>
      <c r="B779" s="19" t="str">
        <f t="shared" si="1"/>
        <v>Sunday</v>
      </c>
      <c r="C779" s="19" t="str">
        <f>IF(D779="","",VLOOKUP(D779,Menu!$A$2:$B$105,2,0))</f>
        <v>Pizza</v>
      </c>
      <c r="D779" s="19" t="s">
        <v>8</v>
      </c>
      <c r="E779" s="19" t="s">
        <v>2</v>
      </c>
      <c r="F779" s="19">
        <v>2.0</v>
      </c>
      <c r="G779" s="19">
        <f t="array" ref="G779">IF(OR(D779="",E779=""),"",IFERROR(CHOOSE(MATCH(E779,{"S","M","L","-"},0),VLOOKUP(D779,Menu!$A$2:$F$105,3,0),VLOOKUP(D779,Menu!$A$2:$F$105,4,0),VLOOKUP(D779,Menu!$A$2:$F$105,5,0),VLOOKUP(D779,Menu!$A$2:$F$105,6,0)),"N/A"))</f>
        <v>59</v>
      </c>
      <c r="H779" s="19">
        <f t="shared" si="2"/>
        <v>118</v>
      </c>
      <c r="I779" s="19">
        <f t="shared" si="4"/>
        <v>880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6">
        <v>45285.0</v>
      </c>
      <c r="B780" s="17" t="str">
        <f t="shared" si="1"/>
        <v>Monday</v>
      </c>
      <c r="C780" s="17" t="str">
        <f>IF(D780="","",VLOOKUP(D780,Menu!$A$2:$B$105,2,0))</f>
        <v>Pizza</v>
      </c>
      <c r="D780" s="17" t="s">
        <v>8</v>
      </c>
      <c r="E780" s="17" t="s">
        <v>2</v>
      </c>
      <c r="F780" s="17">
        <v>1.0</v>
      </c>
      <c r="G780" s="17">
        <f t="array" ref="G780">IF(OR(D780="",E780=""),"",IFERROR(CHOOSE(MATCH(E780,{"S","M","L","-"},0),VLOOKUP(D780,Menu!$A$2:$F$105,3,0),VLOOKUP(D780,Menu!$A$2:$F$105,4,0),VLOOKUP(D780,Menu!$A$2:$F$105,5,0),VLOOKUP(D780,Menu!$A$2:$F$105,6,0)),"N/A"))</f>
        <v>59</v>
      </c>
      <c r="H780" s="17">
        <f t="shared" si="2"/>
        <v>59</v>
      </c>
      <c r="I780" s="17">
        <f t="shared" si="4"/>
        <v>670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6">
        <v>45285.0</v>
      </c>
      <c r="B781" s="17" t="str">
        <f t="shared" si="1"/>
        <v>Monday</v>
      </c>
      <c r="C781" s="17" t="str">
        <f>IF(D781="","",VLOOKUP(D781,Menu!$A$2:$B$105,2,0))</f>
        <v>Pizza</v>
      </c>
      <c r="D781" s="17" t="s">
        <v>6</v>
      </c>
      <c r="E781" s="17" t="s">
        <v>2</v>
      </c>
      <c r="F781" s="17">
        <v>5.0</v>
      </c>
      <c r="G781" s="17">
        <f t="array" ref="G781">IF(OR(D781="",E781=""),"",IFERROR(CHOOSE(MATCH(E781,{"S","M","L","-"},0),VLOOKUP(D781,Menu!$A$2:$F$105,3,0),VLOOKUP(D781,Menu!$A$2:$F$105,4,0),VLOOKUP(D781,Menu!$A$2:$F$105,5,0),VLOOKUP(D781,Menu!$A$2:$F$105,6,0)),"N/A"))</f>
        <v>49</v>
      </c>
      <c r="H781" s="17">
        <f t="shared" si="2"/>
        <v>245</v>
      </c>
      <c r="I781" s="17">
        <f t="shared" si="4"/>
        <v>670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6">
        <v>45285.0</v>
      </c>
      <c r="B782" s="17" t="str">
        <f t="shared" si="1"/>
        <v>Monday</v>
      </c>
      <c r="C782" s="17" t="str">
        <f>IF(D782="","",VLOOKUP(D782,Menu!$A$2:$B$105,2,0))</f>
        <v>Pizza</v>
      </c>
      <c r="D782" s="17" t="s">
        <v>17</v>
      </c>
      <c r="E782" s="17" t="s">
        <v>2</v>
      </c>
      <c r="F782" s="17">
        <v>2.0</v>
      </c>
      <c r="G782" s="17">
        <f t="array" ref="G782">IF(OR(D782="",E782=""),"",IFERROR(CHOOSE(MATCH(E782,{"S","M","L","-"},0),VLOOKUP(D782,Menu!$A$2:$F$105,3,0),VLOOKUP(D782,Menu!$A$2:$F$105,4,0),VLOOKUP(D782,Menu!$A$2:$F$105,5,0),VLOOKUP(D782,Menu!$A$2:$F$105,6,0)),"N/A"))</f>
        <v>109</v>
      </c>
      <c r="H782" s="17">
        <f t="shared" si="2"/>
        <v>218</v>
      </c>
      <c r="I782" s="17">
        <f t="shared" si="4"/>
        <v>670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6">
        <v>45285.0</v>
      </c>
      <c r="B783" s="17" t="str">
        <f t="shared" si="1"/>
        <v>Monday</v>
      </c>
      <c r="C783" s="17" t="str">
        <f>IF(D783="","",VLOOKUP(D783,Menu!$A$2:$B$105,2,0))</f>
        <v>Burger</v>
      </c>
      <c r="D783" s="17" t="s">
        <v>27</v>
      </c>
      <c r="E783" s="17" t="s">
        <v>5</v>
      </c>
      <c r="F783" s="17">
        <v>1.0</v>
      </c>
      <c r="G783" s="17">
        <f t="array" ref="G783">IF(OR(D783="",E783=""),"",IFERROR(CHOOSE(MATCH(E783,{"S","M","L","-"},0),VLOOKUP(D783,Menu!$A$2:$F$105,3,0),VLOOKUP(D783,Menu!$A$2:$F$105,4,0),VLOOKUP(D783,Menu!$A$2:$F$105,5,0),VLOOKUP(D783,Menu!$A$2:$F$105,6,0)),"N/A"))</f>
        <v>39</v>
      </c>
      <c r="H783" s="17">
        <f t="shared" si="2"/>
        <v>39</v>
      </c>
      <c r="I783" s="17">
        <f t="shared" si="4"/>
        <v>670</v>
      </c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6">
        <v>45285.0</v>
      </c>
      <c r="B784" s="17" t="str">
        <f t="shared" si="1"/>
        <v>Monday</v>
      </c>
      <c r="C784" s="17" t="str">
        <f>IF(D784="","",VLOOKUP(D784,Menu!$A$2:$B$105,2,0))</f>
        <v>Pizza</v>
      </c>
      <c r="D784" s="17" t="s">
        <v>18</v>
      </c>
      <c r="E784" s="17" t="s">
        <v>2</v>
      </c>
      <c r="F784" s="17">
        <v>1.0</v>
      </c>
      <c r="G784" s="17">
        <f t="array" ref="G784">IF(OR(D784="",E784=""),"",IFERROR(CHOOSE(MATCH(E784,{"S","M","L","-"},0),VLOOKUP(D784,Menu!$A$2:$F$105,3,0),VLOOKUP(D784,Menu!$A$2:$F$105,4,0),VLOOKUP(D784,Menu!$A$2:$F$105,5,0),VLOOKUP(D784,Menu!$A$2:$F$105,6,0)),"N/A"))</f>
        <v>109</v>
      </c>
      <c r="H784" s="17">
        <f t="shared" si="2"/>
        <v>109</v>
      </c>
      <c r="I784" s="17">
        <f t="shared" si="4"/>
        <v>670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8">
        <v>45286.0</v>
      </c>
      <c r="B785" s="19" t="str">
        <f t="shared" si="1"/>
        <v>Tuesday</v>
      </c>
      <c r="C785" s="19" t="str">
        <f>IF(D785="","",VLOOKUP(D785,Menu!$A$2:$B$105,2,0))</f>
        <v>Pizza</v>
      </c>
      <c r="D785" s="19" t="s">
        <v>15</v>
      </c>
      <c r="E785" s="19" t="s">
        <v>3</v>
      </c>
      <c r="F785" s="19">
        <v>1.0</v>
      </c>
      <c r="G785" s="19">
        <f t="array" ref="G785">IF(OR(D785="",E785=""),"",IFERROR(CHOOSE(MATCH(E785,{"S","M","L","-"},0),VLOOKUP(D785,Menu!$A$2:$F$105,3,0),VLOOKUP(D785,Menu!$A$2:$F$105,4,0),VLOOKUP(D785,Menu!$A$2:$F$105,5,0),VLOOKUP(D785,Menu!$A$2:$F$105,6,0)),"N/A"))</f>
        <v>149</v>
      </c>
      <c r="H785" s="19">
        <f t="shared" si="2"/>
        <v>149</v>
      </c>
      <c r="I785" s="19">
        <f t="shared" si="4"/>
        <v>892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8">
        <v>45286.0</v>
      </c>
      <c r="B786" s="19" t="str">
        <f t="shared" si="1"/>
        <v>Tuesday</v>
      </c>
      <c r="C786" s="19" t="str">
        <f>IF(D786="","",VLOOKUP(D786,Menu!$A$2:$B$105,2,0))</f>
        <v>Pizza</v>
      </c>
      <c r="D786" s="19" t="s">
        <v>10</v>
      </c>
      <c r="E786" s="19" t="s">
        <v>2</v>
      </c>
      <c r="F786" s="19">
        <v>1.0</v>
      </c>
      <c r="G786" s="19">
        <f t="array" ref="G786">IF(OR(D786="",E786=""),"",IFERROR(CHOOSE(MATCH(E786,{"S","M","L","-"},0),VLOOKUP(D786,Menu!$A$2:$F$105,3,0),VLOOKUP(D786,Menu!$A$2:$F$105,4,0),VLOOKUP(D786,Menu!$A$2:$F$105,5,0),VLOOKUP(D786,Menu!$A$2:$F$105,6,0)),"N/A"))</f>
        <v>59</v>
      </c>
      <c r="H786" s="19">
        <f t="shared" si="2"/>
        <v>59</v>
      </c>
      <c r="I786" s="19">
        <f t="shared" si="4"/>
        <v>892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8">
        <v>45286.0</v>
      </c>
      <c r="B787" s="19" t="str">
        <f t="shared" si="1"/>
        <v>Tuesday</v>
      </c>
      <c r="C787" s="19" t="str">
        <f>IF(D787="","",VLOOKUP(D787,Menu!$A$2:$B$105,2,0))</f>
        <v>Pizza</v>
      </c>
      <c r="D787" s="19" t="s">
        <v>11</v>
      </c>
      <c r="E787" s="19" t="s">
        <v>2</v>
      </c>
      <c r="F787" s="19">
        <v>1.0</v>
      </c>
      <c r="G787" s="19">
        <f t="array" ref="G787">IF(OR(D787="",E787=""),"",IFERROR(CHOOSE(MATCH(E787,{"S","M","L","-"},0),VLOOKUP(D787,Menu!$A$2:$F$105,3,0),VLOOKUP(D787,Menu!$A$2:$F$105,4,0),VLOOKUP(D787,Menu!$A$2:$F$105,5,0),VLOOKUP(D787,Menu!$A$2:$F$105,6,0)),"N/A"))</f>
        <v>69</v>
      </c>
      <c r="H787" s="19">
        <f t="shared" si="2"/>
        <v>69</v>
      </c>
      <c r="I787" s="19">
        <f t="shared" si="4"/>
        <v>892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8">
        <v>45286.0</v>
      </c>
      <c r="B788" s="19" t="str">
        <f t="shared" si="1"/>
        <v>Tuesday</v>
      </c>
      <c r="C788" s="19" t="str">
        <f>IF(D788="","",VLOOKUP(D788,Menu!$A$2:$B$105,2,0))</f>
        <v>Pizza</v>
      </c>
      <c r="D788" s="19" t="s">
        <v>18</v>
      </c>
      <c r="E788" s="19" t="s">
        <v>3</v>
      </c>
      <c r="F788" s="19">
        <v>1.0</v>
      </c>
      <c r="G788" s="19">
        <f t="array" ref="G788">IF(OR(D788="",E788=""),"",IFERROR(CHOOSE(MATCH(E788,{"S","M","L","-"},0),VLOOKUP(D788,Menu!$A$2:$F$105,3,0),VLOOKUP(D788,Menu!$A$2:$F$105,4,0),VLOOKUP(D788,Menu!$A$2:$F$105,5,0),VLOOKUP(D788,Menu!$A$2:$F$105,6,0)),"N/A"))</f>
        <v>199</v>
      </c>
      <c r="H788" s="19">
        <f t="shared" si="2"/>
        <v>199</v>
      </c>
      <c r="I788" s="19">
        <f t="shared" si="4"/>
        <v>892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8">
        <v>45286.0</v>
      </c>
      <c r="B789" s="19" t="str">
        <f t="shared" si="1"/>
        <v>Tuesday</v>
      </c>
      <c r="C789" s="19" t="str">
        <f>IF(D789="","",VLOOKUP(D789,Menu!$A$2:$B$105,2,0))</f>
        <v>Pizza</v>
      </c>
      <c r="D789" s="19" t="s">
        <v>26</v>
      </c>
      <c r="E789" s="19" t="s">
        <v>5</v>
      </c>
      <c r="F789" s="19">
        <v>2.0</v>
      </c>
      <c r="G789" s="19">
        <f t="array" ref="G789">IF(OR(D789="",E789=""),"",IFERROR(CHOOSE(MATCH(E789,{"S","M","L","-"},0),VLOOKUP(D789,Menu!$A$2:$F$105,3,0),VLOOKUP(D789,Menu!$A$2:$F$105,4,0),VLOOKUP(D789,Menu!$A$2:$F$105,5,0),VLOOKUP(D789,Menu!$A$2:$F$105,6,0)),"N/A"))</f>
        <v>99</v>
      </c>
      <c r="H789" s="19">
        <f t="shared" si="2"/>
        <v>198</v>
      </c>
      <c r="I789" s="19">
        <f t="shared" si="4"/>
        <v>892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8">
        <v>45286.0</v>
      </c>
      <c r="B790" s="19" t="str">
        <f t="shared" si="1"/>
        <v>Tuesday</v>
      </c>
      <c r="C790" s="19" t="str">
        <f>IF(D790="","",VLOOKUP(D790,Menu!$A$2:$B$105,2,0))</f>
        <v>Pizza</v>
      </c>
      <c r="D790" s="19" t="s">
        <v>18</v>
      </c>
      <c r="E790" s="19" t="s">
        <v>2</v>
      </c>
      <c r="F790" s="19">
        <v>2.0</v>
      </c>
      <c r="G790" s="19">
        <f t="array" ref="G790">IF(OR(D790="",E790=""),"",IFERROR(CHOOSE(MATCH(E790,{"S","M","L","-"},0),VLOOKUP(D790,Menu!$A$2:$F$105,3,0),VLOOKUP(D790,Menu!$A$2:$F$105,4,0),VLOOKUP(D790,Menu!$A$2:$F$105,5,0),VLOOKUP(D790,Menu!$A$2:$F$105,6,0)),"N/A"))</f>
        <v>109</v>
      </c>
      <c r="H790" s="19">
        <f t="shared" si="2"/>
        <v>218</v>
      </c>
      <c r="I790" s="19">
        <f t="shared" si="4"/>
        <v>892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6">
        <v>45287.0</v>
      </c>
      <c r="B791" s="17" t="str">
        <f t="shared" si="1"/>
        <v>Wednesday</v>
      </c>
      <c r="C791" s="17" t="str">
        <f>IF(D791="","",VLOOKUP(D791,Menu!$A$2:$B$105,2,0))</f>
        <v>Pizza</v>
      </c>
      <c r="D791" s="17" t="s">
        <v>6</v>
      </c>
      <c r="E791" s="17" t="s">
        <v>2</v>
      </c>
      <c r="F791" s="17">
        <v>2.0</v>
      </c>
      <c r="G791" s="17">
        <f t="array" ref="G791">IF(OR(D791="",E791=""),"",IFERROR(CHOOSE(MATCH(E791,{"S","M","L","-"},0),VLOOKUP(D791,Menu!$A$2:$F$105,3,0),VLOOKUP(D791,Menu!$A$2:$F$105,4,0),VLOOKUP(D791,Menu!$A$2:$F$105,5,0),VLOOKUP(D791,Menu!$A$2:$F$105,6,0)),"N/A"))</f>
        <v>49</v>
      </c>
      <c r="H791" s="17">
        <f t="shared" si="2"/>
        <v>98</v>
      </c>
      <c r="I791" s="17">
        <f t="shared" si="4"/>
        <v>1340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6">
        <v>45287.0</v>
      </c>
      <c r="B792" s="17" t="str">
        <f t="shared" si="1"/>
        <v>Wednesday</v>
      </c>
      <c r="C792" s="17" t="str">
        <f>IF(D792="","",VLOOKUP(D792,Menu!$A$2:$B$105,2,0))</f>
        <v>Pizza</v>
      </c>
      <c r="D792" s="17" t="s">
        <v>10</v>
      </c>
      <c r="E792" s="17" t="s">
        <v>4</v>
      </c>
      <c r="F792" s="17">
        <v>1.0</v>
      </c>
      <c r="G792" s="17">
        <f t="array" ref="G792">IF(OR(D792="",E792=""),"",IFERROR(CHOOSE(MATCH(E792,{"S","M","L","-"},0),VLOOKUP(D792,Menu!$A$2:$F$105,3,0),VLOOKUP(D792,Menu!$A$2:$F$105,4,0),VLOOKUP(D792,Menu!$A$2:$F$105,5,0),VLOOKUP(D792,Menu!$A$2:$F$105,6,0)),"N/A"))</f>
        <v>199</v>
      </c>
      <c r="H792" s="17">
        <f t="shared" si="2"/>
        <v>199</v>
      </c>
      <c r="I792" s="17">
        <f t="shared" si="4"/>
        <v>1340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6">
        <v>45287.0</v>
      </c>
      <c r="B793" s="17" t="str">
        <f t="shared" si="1"/>
        <v>Wednesday</v>
      </c>
      <c r="C793" s="17" t="str">
        <f>IF(D793="","",VLOOKUP(D793,Menu!$A$2:$B$105,2,0))</f>
        <v>Pizza</v>
      </c>
      <c r="D793" s="17" t="s">
        <v>24</v>
      </c>
      <c r="E793" s="17" t="s">
        <v>2</v>
      </c>
      <c r="F793" s="17">
        <v>1.0</v>
      </c>
      <c r="G793" s="17">
        <f t="array" ref="G793">IF(OR(D793="",E793=""),"",IFERROR(CHOOSE(MATCH(E793,{"S","M","L","-"},0),VLOOKUP(D793,Menu!$A$2:$F$105,3,0),VLOOKUP(D793,Menu!$A$2:$F$105,4,0),VLOOKUP(D793,Menu!$A$2:$F$105,5,0),VLOOKUP(D793,Menu!$A$2:$F$105,6,0)),"N/A"))</f>
        <v>149</v>
      </c>
      <c r="H793" s="17">
        <f t="shared" si="2"/>
        <v>149</v>
      </c>
      <c r="I793" s="17">
        <f t="shared" si="4"/>
        <v>1340</v>
      </c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6">
        <v>45287.0</v>
      </c>
      <c r="B794" s="17" t="str">
        <f t="shared" si="1"/>
        <v>Wednesday</v>
      </c>
      <c r="C794" s="17" t="str">
        <f>IF(D794="","",VLOOKUP(D794,Menu!$A$2:$B$105,2,0))</f>
        <v>Burger</v>
      </c>
      <c r="D794" s="17" t="s">
        <v>27</v>
      </c>
      <c r="E794" s="17" t="s">
        <v>5</v>
      </c>
      <c r="F794" s="17">
        <v>1.0</v>
      </c>
      <c r="G794" s="17">
        <f t="array" ref="G794">IF(OR(D794="",E794=""),"",IFERROR(CHOOSE(MATCH(E794,{"S","M","L","-"},0),VLOOKUP(D794,Menu!$A$2:$F$105,3,0),VLOOKUP(D794,Menu!$A$2:$F$105,4,0),VLOOKUP(D794,Menu!$A$2:$F$105,5,0),VLOOKUP(D794,Menu!$A$2:$F$105,6,0)),"N/A"))</f>
        <v>39</v>
      </c>
      <c r="H794" s="17">
        <f t="shared" si="2"/>
        <v>39</v>
      </c>
      <c r="I794" s="17">
        <f t="shared" si="4"/>
        <v>1340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6">
        <v>45287.0</v>
      </c>
      <c r="B795" s="17" t="str">
        <f t="shared" si="1"/>
        <v>Wednesday</v>
      </c>
      <c r="C795" s="17" t="str">
        <f>IF(D795="","",VLOOKUP(D795,Menu!$A$2:$B$105,2,0))</f>
        <v>Pizza</v>
      </c>
      <c r="D795" s="17" t="s">
        <v>15</v>
      </c>
      <c r="E795" s="17" t="s">
        <v>2</v>
      </c>
      <c r="F795" s="17">
        <v>1.0</v>
      </c>
      <c r="G795" s="17">
        <f t="array" ref="G795">IF(OR(D795="",E795=""),"",IFERROR(CHOOSE(MATCH(E795,{"S","M","L","-"},0),VLOOKUP(D795,Menu!$A$2:$F$105,3,0),VLOOKUP(D795,Menu!$A$2:$F$105,4,0),VLOOKUP(D795,Menu!$A$2:$F$105,5,0),VLOOKUP(D795,Menu!$A$2:$F$105,6,0)),"N/A"))</f>
        <v>99</v>
      </c>
      <c r="H795" s="17">
        <f t="shared" si="2"/>
        <v>99</v>
      </c>
      <c r="I795" s="17">
        <f t="shared" si="4"/>
        <v>1340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6">
        <v>45287.0</v>
      </c>
      <c r="B796" s="17" t="str">
        <f t="shared" si="1"/>
        <v>Wednesday</v>
      </c>
      <c r="C796" s="17" t="str">
        <f>IF(D796="","",VLOOKUP(D796,Menu!$A$2:$B$105,2,0))</f>
        <v>Pizza</v>
      </c>
      <c r="D796" s="17" t="s">
        <v>18</v>
      </c>
      <c r="E796" s="17" t="s">
        <v>3</v>
      </c>
      <c r="F796" s="17">
        <v>2.0</v>
      </c>
      <c r="G796" s="17">
        <f t="array" ref="G796">IF(OR(D796="",E796=""),"",IFERROR(CHOOSE(MATCH(E796,{"S","M","L","-"},0),VLOOKUP(D796,Menu!$A$2:$F$105,3,0),VLOOKUP(D796,Menu!$A$2:$F$105,4,0),VLOOKUP(D796,Menu!$A$2:$F$105,5,0),VLOOKUP(D796,Menu!$A$2:$F$105,6,0)),"N/A"))</f>
        <v>199</v>
      </c>
      <c r="H796" s="17">
        <f t="shared" si="2"/>
        <v>398</v>
      </c>
      <c r="I796" s="17">
        <f t="shared" si="4"/>
        <v>1340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6">
        <v>45287.0</v>
      </c>
      <c r="B797" s="17" t="str">
        <f t="shared" si="1"/>
        <v>Wednesday</v>
      </c>
      <c r="C797" s="17" t="str">
        <f>IF(D797="","",VLOOKUP(D797,Menu!$A$2:$B$105,2,0))</f>
        <v>Pizza</v>
      </c>
      <c r="D797" s="17" t="s">
        <v>18</v>
      </c>
      <c r="E797" s="17" t="s">
        <v>4</v>
      </c>
      <c r="F797" s="17">
        <v>1.0</v>
      </c>
      <c r="G797" s="17">
        <f t="array" ref="G797">IF(OR(D797="",E797=""),"",IFERROR(CHOOSE(MATCH(E797,{"S","M","L","-"},0),VLOOKUP(D797,Menu!$A$2:$F$105,3,0),VLOOKUP(D797,Menu!$A$2:$F$105,4,0),VLOOKUP(D797,Menu!$A$2:$F$105,5,0),VLOOKUP(D797,Menu!$A$2:$F$105,6,0)),"N/A"))</f>
        <v>299</v>
      </c>
      <c r="H797" s="17">
        <f t="shared" si="2"/>
        <v>299</v>
      </c>
      <c r="I797" s="17">
        <f t="shared" si="4"/>
        <v>1340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6">
        <v>45287.0</v>
      </c>
      <c r="B798" s="17" t="str">
        <f t="shared" si="1"/>
        <v>Wednesday</v>
      </c>
      <c r="C798" s="17" t="str">
        <f>IF(D798="","",VLOOKUP(D798,Menu!$A$2:$B$105,2,0))</f>
        <v>Burger</v>
      </c>
      <c r="D798" s="17" t="s">
        <v>29</v>
      </c>
      <c r="E798" s="17" t="s">
        <v>5</v>
      </c>
      <c r="F798" s="17">
        <v>1.0</v>
      </c>
      <c r="G798" s="17">
        <f t="array" ref="G798">IF(OR(D798="",E798=""),"",IFERROR(CHOOSE(MATCH(E798,{"S","M","L","-"},0),VLOOKUP(D798,Menu!$A$2:$F$105,3,0),VLOOKUP(D798,Menu!$A$2:$F$105,4,0),VLOOKUP(D798,Menu!$A$2:$F$105,5,0),VLOOKUP(D798,Menu!$A$2:$F$105,6,0)),"N/A"))</f>
        <v>59</v>
      </c>
      <c r="H798" s="17">
        <f t="shared" si="2"/>
        <v>59</v>
      </c>
      <c r="I798" s="17">
        <f t="shared" si="4"/>
        <v>1340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8">
        <v>45288.0</v>
      </c>
      <c r="B799" s="19" t="str">
        <f t="shared" si="1"/>
        <v>Thursday</v>
      </c>
      <c r="C799" s="19" t="str">
        <f>IF(D799="","",VLOOKUP(D799,Menu!$A$2:$B$105,2,0))</f>
        <v>Burger</v>
      </c>
      <c r="D799" s="19" t="s">
        <v>27</v>
      </c>
      <c r="E799" s="19" t="s">
        <v>5</v>
      </c>
      <c r="F799" s="19">
        <v>2.0</v>
      </c>
      <c r="G799" s="19">
        <f t="array" ref="G799">IF(OR(D799="",E799=""),"",IFERROR(CHOOSE(MATCH(E799,{"S","M","L","-"},0),VLOOKUP(D799,Menu!$A$2:$F$105,3,0),VLOOKUP(D799,Menu!$A$2:$F$105,4,0),VLOOKUP(D799,Menu!$A$2:$F$105,5,0),VLOOKUP(D799,Menu!$A$2:$F$105,6,0)),"N/A"))</f>
        <v>39</v>
      </c>
      <c r="H799" s="19">
        <f t="shared" si="2"/>
        <v>78</v>
      </c>
      <c r="I799" s="19">
        <f t="shared" si="4"/>
        <v>871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8">
        <v>45288.0</v>
      </c>
      <c r="B800" s="19" t="str">
        <f t="shared" si="1"/>
        <v>Thursday</v>
      </c>
      <c r="C800" s="19" t="str">
        <f>IF(D800="","",VLOOKUP(D800,Menu!$A$2:$B$105,2,0))</f>
        <v>Pizza</v>
      </c>
      <c r="D800" s="19" t="s">
        <v>8</v>
      </c>
      <c r="E800" s="19" t="s">
        <v>2</v>
      </c>
      <c r="F800" s="19">
        <v>2.0</v>
      </c>
      <c r="G800" s="19">
        <f t="array" ref="G800">IF(OR(D800="",E800=""),"",IFERROR(CHOOSE(MATCH(E800,{"S","M","L","-"},0),VLOOKUP(D800,Menu!$A$2:$F$105,3,0),VLOOKUP(D800,Menu!$A$2:$F$105,4,0),VLOOKUP(D800,Menu!$A$2:$F$105,5,0),VLOOKUP(D800,Menu!$A$2:$F$105,6,0)),"N/A"))</f>
        <v>59</v>
      </c>
      <c r="H800" s="19">
        <f t="shared" si="2"/>
        <v>118</v>
      </c>
      <c r="I800" s="19">
        <f t="shared" si="4"/>
        <v>871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8">
        <v>45288.0</v>
      </c>
      <c r="B801" s="19" t="str">
        <f t="shared" si="1"/>
        <v>Thursday</v>
      </c>
      <c r="C801" s="19" t="str">
        <f>IF(D801="","",VLOOKUP(D801,Menu!$A$2:$B$105,2,0))</f>
        <v>Pizza</v>
      </c>
      <c r="D801" s="19" t="s">
        <v>18</v>
      </c>
      <c r="E801" s="19" t="s">
        <v>2</v>
      </c>
      <c r="F801" s="19">
        <v>1.0</v>
      </c>
      <c r="G801" s="19">
        <f t="array" ref="G801">IF(OR(D801="",E801=""),"",IFERROR(CHOOSE(MATCH(E801,{"S","M","L","-"},0),VLOOKUP(D801,Menu!$A$2:$F$105,3,0),VLOOKUP(D801,Menu!$A$2:$F$105,4,0),VLOOKUP(D801,Menu!$A$2:$F$105,5,0),VLOOKUP(D801,Menu!$A$2:$F$105,6,0)),"N/A"))</f>
        <v>109</v>
      </c>
      <c r="H801" s="19">
        <f t="shared" si="2"/>
        <v>109</v>
      </c>
      <c r="I801" s="19">
        <f t="shared" si="4"/>
        <v>871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8">
        <v>45288.0</v>
      </c>
      <c r="B802" s="19" t="str">
        <f t="shared" si="1"/>
        <v>Thursday</v>
      </c>
      <c r="C802" s="19" t="str">
        <f>IF(D802="","",VLOOKUP(D802,Menu!$A$2:$B$105,2,0))</f>
        <v>Pizza</v>
      </c>
      <c r="D802" s="19" t="s">
        <v>26</v>
      </c>
      <c r="E802" s="19" t="s">
        <v>5</v>
      </c>
      <c r="F802" s="19">
        <v>2.0</v>
      </c>
      <c r="G802" s="19">
        <f t="array" ref="G802">IF(OR(D802="",E802=""),"",IFERROR(CHOOSE(MATCH(E802,{"S","M","L","-"},0),VLOOKUP(D802,Menu!$A$2:$F$105,3,0),VLOOKUP(D802,Menu!$A$2:$F$105,4,0),VLOOKUP(D802,Menu!$A$2:$F$105,5,0),VLOOKUP(D802,Menu!$A$2:$F$105,6,0)),"N/A"))</f>
        <v>99</v>
      </c>
      <c r="H802" s="19">
        <f t="shared" si="2"/>
        <v>198</v>
      </c>
      <c r="I802" s="19">
        <f t="shared" si="4"/>
        <v>871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8">
        <v>45288.0</v>
      </c>
      <c r="B803" s="19" t="str">
        <f t="shared" si="1"/>
        <v>Thursday</v>
      </c>
      <c r="C803" s="19" t="str">
        <f>IF(D803="","",VLOOKUP(D803,Menu!$A$2:$B$105,2,0))</f>
        <v>Pizza</v>
      </c>
      <c r="D803" s="19" t="s">
        <v>18</v>
      </c>
      <c r="E803" s="19" t="s">
        <v>4</v>
      </c>
      <c r="F803" s="19">
        <v>1.0</v>
      </c>
      <c r="G803" s="19">
        <f t="array" ref="G803">IF(OR(D803="",E803=""),"",IFERROR(CHOOSE(MATCH(E803,{"S","M","L","-"},0),VLOOKUP(D803,Menu!$A$2:$F$105,3,0),VLOOKUP(D803,Menu!$A$2:$F$105,4,0),VLOOKUP(D803,Menu!$A$2:$F$105,5,0),VLOOKUP(D803,Menu!$A$2:$F$105,6,0)),"N/A"))</f>
        <v>299</v>
      </c>
      <c r="H803" s="19">
        <f t="shared" si="2"/>
        <v>299</v>
      </c>
      <c r="I803" s="19">
        <f t="shared" si="4"/>
        <v>871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8">
        <v>45288.0</v>
      </c>
      <c r="B804" s="19" t="str">
        <f t="shared" si="1"/>
        <v>Thursday</v>
      </c>
      <c r="C804" s="19" t="str">
        <f>IF(D804="","",VLOOKUP(D804,Menu!$A$2:$B$105,2,0))</f>
        <v>Pizza</v>
      </c>
      <c r="D804" s="19" t="s">
        <v>11</v>
      </c>
      <c r="E804" s="19" t="s">
        <v>2</v>
      </c>
      <c r="F804" s="19">
        <v>1.0</v>
      </c>
      <c r="G804" s="19">
        <f t="array" ref="G804">IF(OR(D804="",E804=""),"",IFERROR(CHOOSE(MATCH(E804,{"S","M","L","-"},0),VLOOKUP(D804,Menu!$A$2:$F$105,3,0),VLOOKUP(D804,Menu!$A$2:$F$105,4,0),VLOOKUP(D804,Menu!$A$2:$F$105,5,0),VLOOKUP(D804,Menu!$A$2:$F$105,6,0)),"N/A"))</f>
        <v>69</v>
      </c>
      <c r="H804" s="19">
        <f t="shared" si="2"/>
        <v>69</v>
      </c>
      <c r="I804" s="19">
        <f t="shared" si="4"/>
        <v>871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6">
        <v>45289.0</v>
      </c>
      <c r="B805" s="17" t="str">
        <f t="shared" si="1"/>
        <v>Friday</v>
      </c>
      <c r="C805" s="17" t="str">
        <f>IF(D805="","",VLOOKUP(D805,Menu!$A$2:$B$105,2,0))</f>
        <v>Burger</v>
      </c>
      <c r="D805" s="17" t="s">
        <v>29</v>
      </c>
      <c r="E805" s="17" t="s">
        <v>5</v>
      </c>
      <c r="F805" s="17">
        <v>1.0</v>
      </c>
      <c r="G805" s="17">
        <f t="array" ref="G805">IF(OR(D805="",E805=""),"",IFERROR(CHOOSE(MATCH(E805,{"S","M","L","-"},0),VLOOKUP(D805,Menu!$A$2:$F$105,3,0),VLOOKUP(D805,Menu!$A$2:$F$105,4,0),VLOOKUP(D805,Menu!$A$2:$F$105,5,0),VLOOKUP(D805,Menu!$A$2:$F$105,6,0)),"N/A"))</f>
        <v>59</v>
      </c>
      <c r="H805" s="17">
        <f t="shared" si="2"/>
        <v>59</v>
      </c>
      <c r="I805" s="17">
        <f t="shared" si="4"/>
        <v>334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6">
        <v>45289.0</v>
      </c>
      <c r="B806" s="17" t="str">
        <f t="shared" si="1"/>
        <v>Friday</v>
      </c>
      <c r="C806" s="17" t="str">
        <f>IF(D806="","",VLOOKUP(D806,Menu!$A$2:$B$105,2,0))</f>
        <v>Pizza</v>
      </c>
      <c r="D806" s="17" t="s">
        <v>8</v>
      </c>
      <c r="E806" s="17" t="s">
        <v>2</v>
      </c>
      <c r="F806" s="17">
        <v>4.0</v>
      </c>
      <c r="G806" s="17">
        <f t="array" ref="G806">IF(OR(D806="",E806=""),"",IFERROR(CHOOSE(MATCH(E806,{"S","M","L","-"},0),VLOOKUP(D806,Menu!$A$2:$F$105,3,0),VLOOKUP(D806,Menu!$A$2:$F$105,4,0),VLOOKUP(D806,Menu!$A$2:$F$105,5,0),VLOOKUP(D806,Menu!$A$2:$F$105,6,0)),"N/A"))</f>
        <v>59</v>
      </c>
      <c r="H806" s="17">
        <f t="shared" si="2"/>
        <v>236</v>
      </c>
      <c r="I806" s="17">
        <f t="shared" si="4"/>
        <v>334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6">
        <v>45289.0</v>
      </c>
      <c r="B807" s="17" t="str">
        <f t="shared" si="1"/>
        <v>Friday</v>
      </c>
      <c r="C807" s="17" t="str">
        <f>IF(D807="","",VLOOKUP(D807,Menu!$A$2:$B$105,2,0))</f>
        <v>Burger</v>
      </c>
      <c r="D807" s="17" t="s">
        <v>27</v>
      </c>
      <c r="E807" s="17" t="s">
        <v>5</v>
      </c>
      <c r="F807" s="17">
        <v>1.0</v>
      </c>
      <c r="G807" s="17">
        <f t="array" ref="G807">IF(OR(D807="",E807=""),"",IFERROR(CHOOSE(MATCH(E807,{"S","M","L","-"},0),VLOOKUP(D807,Menu!$A$2:$F$105,3,0),VLOOKUP(D807,Menu!$A$2:$F$105,4,0),VLOOKUP(D807,Menu!$A$2:$F$105,5,0),VLOOKUP(D807,Menu!$A$2:$F$105,6,0)),"N/A"))</f>
        <v>39</v>
      </c>
      <c r="H807" s="17">
        <f t="shared" si="2"/>
        <v>39</v>
      </c>
      <c r="I807" s="17">
        <f t="shared" si="4"/>
        <v>334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8">
        <v>45290.0</v>
      </c>
      <c r="B808" s="19" t="str">
        <f t="shared" si="1"/>
        <v>Saturday</v>
      </c>
      <c r="C808" s="19" t="str">
        <f>IF(D808="","",VLOOKUP(D808,Menu!$A$2:$B$105,2,0))</f>
        <v>Pizza</v>
      </c>
      <c r="D808" s="19" t="s">
        <v>8</v>
      </c>
      <c r="E808" s="19" t="s">
        <v>2</v>
      </c>
      <c r="F808" s="19">
        <v>1.0</v>
      </c>
      <c r="G808" s="19">
        <f t="array" ref="G808">IF(OR(D808="",E808=""),"",IFERROR(CHOOSE(MATCH(E808,{"S","M","L","-"},0),VLOOKUP(D808,Menu!$A$2:$F$105,3,0),VLOOKUP(D808,Menu!$A$2:$F$105,4,0),VLOOKUP(D808,Menu!$A$2:$F$105,5,0),VLOOKUP(D808,Menu!$A$2:$F$105,6,0)),"N/A"))</f>
        <v>59</v>
      </c>
      <c r="H808" s="19">
        <f t="shared" si="2"/>
        <v>59</v>
      </c>
      <c r="I808" s="19">
        <f t="shared" si="4"/>
        <v>544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8">
        <v>45290.0</v>
      </c>
      <c r="B809" s="19" t="str">
        <f t="shared" si="1"/>
        <v>Saturday</v>
      </c>
      <c r="C809" s="19" t="str">
        <f>IF(D809="","",VLOOKUP(D809,Menu!$A$2:$B$105,2,0))</f>
        <v>Pizza</v>
      </c>
      <c r="D809" s="19" t="s">
        <v>6</v>
      </c>
      <c r="E809" s="19" t="s">
        <v>2</v>
      </c>
      <c r="F809" s="19">
        <v>1.0</v>
      </c>
      <c r="G809" s="19">
        <f t="array" ref="G809">IF(OR(D809="",E809=""),"",IFERROR(CHOOSE(MATCH(E809,{"S","M","L","-"},0),VLOOKUP(D809,Menu!$A$2:$F$105,3,0),VLOOKUP(D809,Menu!$A$2:$F$105,4,0),VLOOKUP(D809,Menu!$A$2:$F$105,5,0),VLOOKUP(D809,Menu!$A$2:$F$105,6,0)),"N/A"))</f>
        <v>49</v>
      </c>
      <c r="H809" s="19">
        <f t="shared" si="2"/>
        <v>49</v>
      </c>
      <c r="I809" s="19">
        <f t="shared" si="4"/>
        <v>544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8">
        <v>45290.0</v>
      </c>
      <c r="B810" s="19" t="str">
        <f t="shared" si="1"/>
        <v>Saturday</v>
      </c>
      <c r="C810" s="19" t="str">
        <f>IF(D810="","",VLOOKUP(D810,Menu!$A$2:$B$105,2,0))</f>
        <v>Burger</v>
      </c>
      <c r="D810" s="19" t="s">
        <v>27</v>
      </c>
      <c r="E810" s="19" t="s">
        <v>5</v>
      </c>
      <c r="F810" s="19">
        <v>1.0</v>
      </c>
      <c r="G810" s="19">
        <f t="array" ref="G810">IF(OR(D810="",E810=""),"",IFERROR(CHOOSE(MATCH(E810,{"S","M","L","-"},0),VLOOKUP(D810,Menu!$A$2:$F$105,3,0),VLOOKUP(D810,Menu!$A$2:$F$105,4,0),VLOOKUP(D810,Menu!$A$2:$F$105,5,0),VLOOKUP(D810,Menu!$A$2:$F$105,6,0)),"N/A"))</f>
        <v>39</v>
      </c>
      <c r="H810" s="19">
        <f t="shared" si="2"/>
        <v>39</v>
      </c>
      <c r="I810" s="19">
        <f t="shared" si="4"/>
        <v>544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8">
        <v>45290.0</v>
      </c>
      <c r="B811" s="19" t="str">
        <f t="shared" si="1"/>
        <v>Saturday</v>
      </c>
      <c r="C811" s="19" t="str">
        <f>IF(D811="","",VLOOKUP(D811,Menu!$A$2:$B$105,2,0))</f>
        <v>Pizza</v>
      </c>
      <c r="D811" s="19" t="s">
        <v>15</v>
      </c>
      <c r="E811" s="19" t="s">
        <v>2</v>
      </c>
      <c r="F811" s="19">
        <v>2.0</v>
      </c>
      <c r="G811" s="19">
        <f t="array" ref="G811">IF(OR(D811="",E811=""),"",IFERROR(CHOOSE(MATCH(E811,{"S","M","L","-"},0),VLOOKUP(D811,Menu!$A$2:$F$105,3,0),VLOOKUP(D811,Menu!$A$2:$F$105,4,0),VLOOKUP(D811,Menu!$A$2:$F$105,5,0),VLOOKUP(D811,Menu!$A$2:$F$105,6,0)),"N/A"))</f>
        <v>99</v>
      </c>
      <c r="H811" s="19">
        <f t="shared" si="2"/>
        <v>198</v>
      </c>
      <c r="I811" s="19">
        <f t="shared" si="4"/>
        <v>544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8">
        <v>45290.0</v>
      </c>
      <c r="B812" s="19" t="str">
        <f t="shared" si="1"/>
        <v>Saturday</v>
      </c>
      <c r="C812" s="19" t="str">
        <f>IF(D812="","",VLOOKUP(D812,Menu!$A$2:$B$105,2,0))</f>
        <v>Pizza</v>
      </c>
      <c r="D812" s="19" t="s">
        <v>18</v>
      </c>
      <c r="E812" s="19" t="s">
        <v>3</v>
      </c>
      <c r="F812" s="19">
        <v>1.0</v>
      </c>
      <c r="G812" s="19">
        <f t="array" ref="G812">IF(OR(D812="",E812=""),"",IFERROR(CHOOSE(MATCH(E812,{"S","M","L","-"},0),VLOOKUP(D812,Menu!$A$2:$F$105,3,0),VLOOKUP(D812,Menu!$A$2:$F$105,4,0),VLOOKUP(D812,Menu!$A$2:$F$105,5,0),VLOOKUP(D812,Menu!$A$2:$F$105,6,0)),"N/A"))</f>
        <v>199</v>
      </c>
      <c r="H812" s="19">
        <f t="shared" si="2"/>
        <v>199</v>
      </c>
      <c r="I812" s="19">
        <f t="shared" si="4"/>
        <v>544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6">
        <v>45291.0</v>
      </c>
      <c r="B813" s="17" t="str">
        <f t="shared" si="1"/>
        <v>Sunday</v>
      </c>
      <c r="C813" s="17" t="str">
        <f>IF(D813="","",VLOOKUP(D813,Menu!$A$2:$B$105,2,0))</f>
        <v>Pizza</v>
      </c>
      <c r="D813" s="17" t="s">
        <v>10</v>
      </c>
      <c r="E813" s="17" t="s">
        <v>4</v>
      </c>
      <c r="F813" s="17">
        <v>1.0</v>
      </c>
      <c r="G813" s="17">
        <f t="array" ref="G813">IF(OR(D813="",E813=""),"",IFERROR(CHOOSE(MATCH(E813,{"S","M","L","-"},0),VLOOKUP(D813,Menu!$A$2:$F$105,3,0),VLOOKUP(D813,Menu!$A$2:$F$105,4,0),VLOOKUP(D813,Menu!$A$2:$F$105,5,0),VLOOKUP(D813,Menu!$A$2:$F$105,6,0)),"N/A"))</f>
        <v>199</v>
      </c>
      <c r="H813" s="17">
        <f t="shared" si="2"/>
        <v>199</v>
      </c>
      <c r="I813" s="17">
        <f t="shared" si="4"/>
        <v>2922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6">
        <v>45291.0</v>
      </c>
      <c r="B814" s="17" t="str">
        <f t="shared" si="1"/>
        <v>Sunday</v>
      </c>
      <c r="C814" s="17" t="str">
        <f>IF(D814="","",VLOOKUP(D814,Menu!$A$2:$B$105,2,0))</f>
        <v>Burger</v>
      </c>
      <c r="D814" s="17" t="s">
        <v>27</v>
      </c>
      <c r="E814" s="17" t="s">
        <v>5</v>
      </c>
      <c r="F814" s="17">
        <v>4.0</v>
      </c>
      <c r="G814" s="17">
        <f t="array" ref="G814">IF(OR(D814="",E814=""),"",IFERROR(CHOOSE(MATCH(E814,{"S","M","L","-"},0),VLOOKUP(D814,Menu!$A$2:$F$105,3,0),VLOOKUP(D814,Menu!$A$2:$F$105,4,0),VLOOKUP(D814,Menu!$A$2:$F$105,5,0),VLOOKUP(D814,Menu!$A$2:$F$105,6,0)),"N/A"))</f>
        <v>39</v>
      </c>
      <c r="H814" s="17">
        <f t="shared" si="2"/>
        <v>156</v>
      </c>
      <c r="I814" s="17">
        <f t="shared" si="4"/>
        <v>2922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6">
        <v>45291.0</v>
      </c>
      <c r="B815" s="17" t="str">
        <f t="shared" si="1"/>
        <v>Sunday</v>
      </c>
      <c r="C815" s="17" t="str">
        <f>IF(D815="","",VLOOKUP(D815,Menu!$A$2:$B$105,2,0))</f>
        <v>Dessert</v>
      </c>
      <c r="D815" s="17" t="s">
        <v>56</v>
      </c>
      <c r="E815" s="17" t="s">
        <v>5</v>
      </c>
      <c r="F815" s="17">
        <v>1.0</v>
      </c>
      <c r="G815" s="17">
        <f t="array" ref="G815">IF(OR(D815="",E815=""),"",IFERROR(CHOOSE(MATCH(E815,{"S","M","L","-"},0),VLOOKUP(D815,Menu!$A$2:$F$105,3,0),VLOOKUP(D815,Menu!$A$2:$F$105,4,0),VLOOKUP(D815,Menu!$A$2:$F$105,5,0),VLOOKUP(D815,Menu!$A$2:$F$105,6,0)),"N/A"))</f>
        <v>110</v>
      </c>
      <c r="H815" s="17">
        <f t="shared" si="2"/>
        <v>110</v>
      </c>
      <c r="I815" s="17">
        <f t="shared" si="4"/>
        <v>2922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6">
        <v>45291.0</v>
      </c>
      <c r="B816" s="17" t="str">
        <f t="shared" si="1"/>
        <v>Sunday</v>
      </c>
      <c r="C816" s="17" t="str">
        <f>IF(D816="","",VLOOKUP(D816,Menu!$A$2:$B$105,2,0))</f>
        <v>Pizza</v>
      </c>
      <c r="D816" s="17" t="s">
        <v>8</v>
      </c>
      <c r="E816" s="17" t="s">
        <v>2</v>
      </c>
      <c r="F816" s="17">
        <v>3.0</v>
      </c>
      <c r="G816" s="17">
        <f t="array" ref="G816">IF(OR(D816="",E816=""),"",IFERROR(CHOOSE(MATCH(E816,{"S","M","L","-"},0),VLOOKUP(D816,Menu!$A$2:$F$105,3,0),VLOOKUP(D816,Menu!$A$2:$F$105,4,0),VLOOKUP(D816,Menu!$A$2:$F$105,5,0),VLOOKUP(D816,Menu!$A$2:$F$105,6,0)),"N/A"))</f>
        <v>59</v>
      </c>
      <c r="H816" s="17">
        <f t="shared" si="2"/>
        <v>177</v>
      </c>
      <c r="I816" s="17">
        <f t="shared" si="4"/>
        <v>2922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6">
        <v>45291.0</v>
      </c>
      <c r="B817" s="17" t="str">
        <f t="shared" si="1"/>
        <v>Sunday</v>
      </c>
      <c r="C817" s="17" t="str">
        <f>IF(D817="","",VLOOKUP(D817,Menu!$A$2:$B$105,2,0))</f>
        <v>Pizza</v>
      </c>
      <c r="D817" s="17" t="s">
        <v>16</v>
      </c>
      <c r="E817" s="17" t="s">
        <v>2</v>
      </c>
      <c r="F817" s="17">
        <v>1.0</v>
      </c>
      <c r="G817" s="17">
        <f t="array" ref="G817">IF(OR(D817="",E817=""),"",IFERROR(CHOOSE(MATCH(E817,{"S","M","L","-"},0),VLOOKUP(D817,Menu!$A$2:$F$105,3,0),VLOOKUP(D817,Menu!$A$2:$F$105,4,0),VLOOKUP(D817,Menu!$A$2:$F$105,5,0),VLOOKUP(D817,Menu!$A$2:$F$105,6,0)),"N/A"))</f>
        <v>109</v>
      </c>
      <c r="H817" s="17">
        <f t="shared" si="2"/>
        <v>109</v>
      </c>
      <c r="I817" s="17">
        <f t="shared" si="4"/>
        <v>2922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6">
        <v>45291.0</v>
      </c>
      <c r="B818" s="17" t="str">
        <f t="shared" si="1"/>
        <v>Sunday</v>
      </c>
      <c r="C818" s="17" t="str">
        <f>IF(D818="","",VLOOKUP(D818,Menu!$A$2:$B$105,2,0))</f>
        <v>Pizza</v>
      </c>
      <c r="D818" s="17" t="s">
        <v>21</v>
      </c>
      <c r="E818" s="17" t="s">
        <v>2</v>
      </c>
      <c r="F818" s="17">
        <v>1.0</v>
      </c>
      <c r="G818" s="17">
        <f t="array" ref="G818">IF(OR(D818="",E818=""),"",IFERROR(CHOOSE(MATCH(E818,{"S","M","L","-"},0),VLOOKUP(D818,Menu!$A$2:$F$105,3,0),VLOOKUP(D818,Menu!$A$2:$F$105,4,0),VLOOKUP(D818,Menu!$A$2:$F$105,5,0),VLOOKUP(D818,Menu!$A$2:$F$105,6,0)),"N/A"))</f>
        <v>119</v>
      </c>
      <c r="H818" s="17">
        <f t="shared" si="2"/>
        <v>119</v>
      </c>
      <c r="I818" s="17">
        <f t="shared" si="4"/>
        <v>2922</v>
      </c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6">
        <v>45291.0</v>
      </c>
      <c r="B819" s="17" t="str">
        <f t="shared" si="1"/>
        <v>Sunday</v>
      </c>
      <c r="C819" s="17" t="str">
        <f>IF(D819="","",VLOOKUP(D819,Menu!$A$2:$B$105,2,0))</f>
        <v>Pizza</v>
      </c>
      <c r="D819" s="17" t="s">
        <v>6</v>
      </c>
      <c r="E819" s="17" t="s">
        <v>2</v>
      </c>
      <c r="F819" s="17">
        <v>1.0</v>
      </c>
      <c r="G819" s="17">
        <f t="array" ref="G819">IF(OR(D819="",E819=""),"",IFERROR(CHOOSE(MATCH(E819,{"S","M","L","-"},0),VLOOKUP(D819,Menu!$A$2:$F$105,3,0),VLOOKUP(D819,Menu!$A$2:$F$105,4,0),VLOOKUP(D819,Menu!$A$2:$F$105,5,0),VLOOKUP(D819,Menu!$A$2:$F$105,6,0)),"N/A"))</f>
        <v>49</v>
      </c>
      <c r="H819" s="17">
        <f t="shared" si="2"/>
        <v>49</v>
      </c>
      <c r="I819" s="17">
        <f t="shared" si="4"/>
        <v>2922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6">
        <v>45291.0</v>
      </c>
      <c r="B820" s="17" t="str">
        <f t="shared" si="1"/>
        <v>Sunday</v>
      </c>
      <c r="C820" s="17" t="str">
        <f>IF(D820="","",VLOOKUP(D820,Menu!$A$2:$B$105,2,0))</f>
        <v>Pizza</v>
      </c>
      <c r="D820" s="17" t="s">
        <v>14</v>
      </c>
      <c r="E820" s="17" t="s">
        <v>3</v>
      </c>
      <c r="F820" s="17">
        <v>1.0</v>
      </c>
      <c r="G820" s="17">
        <f t="array" ref="G820">IF(OR(D820="",E820=""),"",IFERROR(CHOOSE(MATCH(E820,{"S","M","L","-"},0),VLOOKUP(D820,Menu!$A$2:$F$105,3,0),VLOOKUP(D820,Menu!$A$2:$F$105,4,0),VLOOKUP(D820,Menu!$A$2:$F$105,5,0),VLOOKUP(D820,Menu!$A$2:$F$105,6,0)),"N/A"))</f>
        <v>129</v>
      </c>
      <c r="H820" s="17">
        <f t="shared" si="2"/>
        <v>129</v>
      </c>
      <c r="I820" s="17">
        <f t="shared" si="4"/>
        <v>2922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6">
        <v>45291.0</v>
      </c>
      <c r="B821" s="17" t="str">
        <f t="shared" si="1"/>
        <v>Sunday</v>
      </c>
      <c r="C821" s="17" t="str">
        <f>IF(D821="","",VLOOKUP(D821,Menu!$A$2:$B$105,2,0))</f>
        <v>Pizza</v>
      </c>
      <c r="D821" s="17" t="s">
        <v>15</v>
      </c>
      <c r="E821" s="17" t="s">
        <v>3</v>
      </c>
      <c r="F821" s="17">
        <v>2.0</v>
      </c>
      <c r="G821" s="17">
        <f t="array" ref="G821">IF(OR(D821="",E821=""),"",IFERROR(CHOOSE(MATCH(E821,{"S","M","L","-"},0),VLOOKUP(D821,Menu!$A$2:$F$105,3,0),VLOOKUP(D821,Menu!$A$2:$F$105,4,0),VLOOKUP(D821,Menu!$A$2:$F$105,5,0),VLOOKUP(D821,Menu!$A$2:$F$105,6,0)),"N/A"))</f>
        <v>149</v>
      </c>
      <c r="H821" s="17">
        <f t="shared" si="2"/>
        <v>298</v>
      </c>
      <c r="I821" s="17">
        <f t="shared" si="4"/>
        <v>2922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6">
        <v>45291.0</v>
      </c>
      <c r="B822" s="17" t="str">
        <f t="shared" si="1"/>
        <v>Sunday</v>
      </c>
      <c r="C822" s="17" t="str">
        <f>IF(D822="","",VLOOKUP(D822,Menu!$A$2:$B$105,2,0))</f>
        <v>Pizza</v>
      </c>
      <c r="D822" s="17" t="s">
        <v>10</v>
      </c>
      <c r="E822" s="17" t="s">
        <v>2</v>
      </c>
      <c r="F822" s="17">
        <v>5.0</v>
      </c>
      <c r="G822" s="17">
        <f t="array" ref="G822">IF(OR(D822="",E822=""),"",IFERROR(CHOOSE(MATCH(E822,{"S","M","L","-"},0),VLOOKUP(D822,Menu!$A$2:$F$105,3,0),VLOOKUP(D822,Menu!$A$2:$F$105,4,0),VLOOKUP(D822,Menu!$A$2:$F$105,5,0),VLOOKUP(D822,Menu!$A$2:$F$105,6,0)),"N/A"))</f>
        <v>59</v>
      </c>
      <c r="H822" s="17">
        <f t="shared" si="2"/>
        <v>295</v>
      </c>
      <c r="I822" s="17">
        <f t="shared" si="4"/>
        <v>2922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6">
        <v>45291.0</v>
      </c>
      <c r="B823" s="17" t="str">
        <f t="shared" si="1"/>
        <v>Sunday</v>
      </c>
      <c r="C823" s="17" t="str">
        <f>IF(D823="","",VLOOKUP(D823,Menu!$A$2:$B$105,2,0))</f>
        <v>Pizza</v>
      </c>
      <c r="D823" s="17" t="s">
        <v>11</v>
      </c>
      <c r="E823" s="17" t="s">
        <v>2</v>
      </c>
      <c r="F823" s="17">
        <v>6.0</v>
      </c>
      <c r="G823" s="17">
        <f t="array" ref="G823">IF(OR(D823="",E823=""),"",IFERROR(CHOOSE(MATCH(E823,{"S","M","L","-"},0),VLOOKUP(D823,Menu!$A$2:$F$105,3,0),VLOOKUP(D823,Menu!$A$2:$F$105,4,0),VLOOKUP(D823,Menu!$A$2:$F$105,5,0),VLOOKUP(D823,Menu!$A$2:$F$105,6,0)),"N/A"))</f>
        <v>69</v>
      </c>
      <c r="H823" s="17">
        <f t="shared" si="2"/>
        <v>414</v>
      </c>
      <c r="I823" s="17">
        <f t="shared" si="4"/>
        <v>2922</v>
      </c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6">
        <v>45291.0</v>
      </c>
      <c r="B824" s="17" t="str">
        <f t="shared" si="1"/>
        <v>Sunday</v>
      </c>
      <c r="C824" s="17" t="str">
        <f>IF(D824="","",VLOOKUP(D824,Menu!$A$2:$B$105,2,0))</f>
        <v>Pizza</v>
      </c>
      <c r="D824" s="17" t="s">
        <v>23</v>
      </c>
      <c r="E824" s="17" t="s">
        <v>4</v>
      </c>
      <c r="F824" s="17">
        <v>1.0</v>
      </c>
      <c r="G824" s="17">
        <f t="array" ref="G824">IF(OR(D824="",E824=""),"",IFERROR(CHOOSE(MATCH(E824,{"S","M","L","-"},0),VLOOKUP(D824,Menu!$A$2:$F$105,3,0),VLOOKUP(D824,Menu!$A$2:$F$105,4,0),VLOOKUP(D824,Menu!$A$2:$F$105,5,0),VLOOKUP(D824,Menu!$A$2:$F$105,6,0)),"N/A"))</f>
        <v>339</v>
      </c>
      <c r="H824" s="17">
        <f t="shared" si="2"/>
        <v>339</v>
      </c>
      <c r="I824" s="17">
        <f t="shared" si="4"/>
        <v>2922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6">
        <v>45291.0</v>
      </c>
      <c r="B825" s="17" t="str">
        <f t="shared" si="1"/>
        <v>Sunday</v>
      </c>
      <c r="C825" s="17" t="str">
        <f>IF(D825="","",VLOOKUP(D825,Menu!$A$2:$B$105,2,0))</f>
        <v>Pizza</v>
      </c>
      <c r="D825" s="17" t="s">
        <v>8</v>
      </c>
      <c r="E825" s="17" t="s">
        <v>4</v>
      </c>
      <c r="F825" s="17">
        <v>1.0</v>
      </c>
      <c r="G825" s="17">
        <f t="array" ref="G825">IF(OR(D825="",E825=""),"",IFERROR(CHOOSE(MATCH(E825,{"S","M","L","-"},0),VLOOKUP(D825,Menu!$A$2:$F$105,3,0),VLOOKUP(D825,Menu!$A$2:$F$105,4,0),VLOOKUP(D825,Menu!$A$2:$F$105,5,0),VLOOKUP(D825,Menu!$A$2:$F$105,6,0)),"N/A"))</f>
        <v>199</v>
      </c>
      <c r="H825" s="17">
        <f t="shared" si="2"/>
        <v>199</v>
      </c>
      <c r="I825" s="17">
        <f t="shared" si="4"/>
        <v>2922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6">
        <v>45291.0</v>
      </c>
      <c r="B826" s="17" t="str">
        <f t="shared" si="1"/>
        <v>Sunday</v>
      </c>
      <c r="C826" s="17" t="str">
        <f>IF(D826="","",VLOOKUP(D826,Menu!$A$2:$B$105,2,0))</f>
        <v>Pizza</v>
      </c>
      <c r="D826" s="17" t="s">
        <v>23</v>
      </c>
      <c r="E826" s="17" t="s">
        <v>3</v>
      </c>
      <c r="F826" s="17">
        <v>1.0</v>
      </c>
      <c r="G826" s="17">
        <f t="array" ref="G826">IF(OR(D826="",E826=""),"",IFERROR(CHOOSE(MATCH(E826,{"S","M","L","-"},0),VLOOKUP(D826,Menu!$A$2:$F$105,3,0),VLOOKUP(D826,Menu!$A$2:$F$105,4,0),VLOOKUP(D826,Menu!$A$2:$F$105,5,0),VLOOKUP(D826,Menu!$A$2:$F$105,6,0)),"N/A"))</f>
        <v>230</v>
      </c>
      <c r="H826" s="17">
        <f t="shared" si="2"/>
        <v>230</v>
      </c>
      <c r="I826" s="17">
        <f t="shared" si="4"/>
        <v>2922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6">
        <v>45291.0</v>
      </c>
      <c r="B827" s="17" t="str">
        <f t="shared" si="1"/>
        <v>Sunday</v>
      </c>
      <c r="C827" s="17" t="str">
        <f>IF(D827="","",VLOOKUP(D827,Menu!$A$2:$B$105,2,0))</f>
        <v>Pizza</v>
      </c>
      <c r="D827" s="17" t="s">
        <v>15</v>
      </c>
      <c r="E827" s="17" t="s">
        <v>2</v>
      </c>
      <c r="F827" s="17">
        <v>1.0</v>
      </c>
      <c r="G827" s="17">
        <f t="array" ref="G827">IF(OR(D827="",E827=""),"",IFERROR(CHOOSE(MATCH(E827,{"S","M","L","-"},0),VLOOKUP(D827,Menu!$A$2:$F$105,3,0),VLOOKUP(D827,Menu!$A$2:$F$105,4,0),VLOOKUP(D827,Menu!$A$2:$F$105,5,0),VLOOKUP(D827,Menu!$A$2:$F$105,6,0)),"N/A"))</f>
        <v>99</v>
      </c>
      <c r="H827" s="17">
        <f t="shared" si="2"/>
        <v>99</v>
      </c>
      <c r="I827" s="17">
        <f t="shared" si="4"/>
        <v>2922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8">
        <v>45292.0</v>
      </c>
      <c r="B828" s="19" t="str">
        <f t="shared" si="1"/>
        <v>Monday</v>
      </c>
      <c r="C828" s="19" t="str">
        <f>IF(D828="","",VLOOKUP(D828,Menu!$A$2:$B$105,2,0))</f>
        <v>Pizza</v>
      </c>
      <c r="D828" s="19" t="s">
        <v>18</v>
      </c>
      <c r="E828" s="19" t="s">
        <v>3</v>
      </c>
      <c r="F828" s="19">
        <v>1.0</v>
      </c>
      <c r="G828" s="19">
        <f t="array" ref="G828">IF(OR(D828="",E828=""),"",IFERROR(CHOOSE(MATCH(E828,{"S","M","L","-"},0),VLOOKUP(D828,Menu!$A$2:$F$105,3,0),VLOOKUP(D828,Menu!$A$2:$F$105,4,0),VLOOKUP(D828,Menu!$A$2:$F$105,5,0),VLOOKUP(D828,Menu!$A$2:$F$105,6,0)),"N/A"))</f>
        <v>199</v>
      </c>
      <c r="H828" s="19">
        <f t="shared" si="2"/>
        <v>199</v>
      </c>
      <c r="I828" s="19">
        <f t="shared" si="4"/>
        <v>1366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8">
        <v>45292.0</v>
      </c>
      <c r="B829" s="19" t="str">
        <f t="shared" si="1"/>
        <v>Monday</v>
      </c>
      <c r="C829" s="19" t="str">
        <f>IF(D829="","",VLOOKUP(D829,Menu!$A$2:$B$105,2,0))</f>
        <v>Shake</v>
      </c>
      <c r="D829" s="19" t="s">
        <v>41</v>
      </c>
      <c r="E829" s="19" t="s">
        <v>5</v>
      </c>
      <c r="F829" s="19">
        <v>1.0</v>
      </c>
      <c r="G829" s="19">
        <f t="array" ref="G829">IF(OR(D829="",E829=""),"",IFERROR(CHOOSE(MATCH(E829,{"S","M","L","-"},0),VLOOKUP(D829,Menu!$A$2:$F$105,3,0),VLOOKUP(D829,Menu!$A$2:$F$105,4,0),VLOOKUP(D829,Menu!$A$2:$F$105,5,0),VLOOKUP(D829,Menu!$A$2:$F$105,6,0)),"N/A"))</f>
        <v>70</v>
      </c>
      <c r="H829" s="19">
        <f t="shared" si="2"/>
        <v>70</v>
      </c>
      <c r="I829" s="19">
        <f t="shared" si="4"/>
        <v>1366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8">
        <v>45292.0</v>
      </c>
      <c r="B830" s="19" t="str">
        <f t="shared" si="1"/>
        <v>Monday</v>
      </c>
      <c r="C830" s="19" t="str">
        <f>IF(D830="","",VLOOKUP(D830,Menu!$A$2:$B$105,2,0))</f>
        <v>Pizza</v>
      </c>
      <c r="D830" s="19" t="s">
        <v>26</v>
      </c>
      <c r="E830" s="19" t="s">
        <v>5</v>
      </c>
      <c r="F830" s="19">
        <v>7.0</v>
      </c>
      <c r="G830" s="19">
        <f t="array" ref="G830">IF(OR(D830="",E830=""),"",IFERROR(CHOOSE(MATCH(E830,{"S","M","L","-"},0),VLOOKUP(D830,Menu!$A$2:$F$105,3,0),VLOOKUP(D830,Menu!$A$2:$F$105,4,0),VLOOKUP(D830,Menu!$A$2:$F$105,5,0),VLOOKUP(D830,Menu!$A$2:$F$105,6,0)),"N/A"))</f>
        <v>99</v>
      </c>
      <c r="H830" s="19">
        <f t="shared" si="2"/>
        <v>693</v>
      </c>
      <c r="I830" s="19">
        <f t="shared" si="4"/>
        <v>1366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8">
        <v>45292.0</v>
      </c>
      <c r="B831" s="19" t="str">
        <f t="shared" si="1"/>
        <v>Monday</v>
      </c>
      <c r="C831" s="19" t="str">
        <f>IF(D831="","",VLOOKUP(D831,Menu!$A$2:$B$105,2,0))</f>
        <v>Pizza</v>
      </c>
      <c r="D831" s="19" t="s">
        <v>13</v>
      </c>
      <c r="E831" s="19" t="s">
        <v>2</v>
      </c>
      <c r="F831" s="19">
        <v>2.0</v>
      </c>
      <c r="G831" s="19">
        <f t="array" ref="G831">IF(OR(D831="",E831=""),"",IFERROR(CHOOSE(MATCH(E831,{"S","M","L","-"},0),VLOOKUP(D831,Menu!$A$2:$F$105,3,0),VLOOKUP(D831,Menu!$A$2:$F$105,4,0),VLOOKUP(D831,Menu!$A$2:$F$105,5,0),VLOOKUP(D831,Menu!$A$2:$F$105,6,0)),"N/A"))</f>
        <v>79</v>
      </c>
      <c r="H831" s="19">
        <f t="shared" si="2"/>
        <v>158</v>
      </c>
      <c r="I831" s="19">
        <f t="shared" si="4"/>
        <v>1366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8">
        <v>45292.0</v>
      </c>
      <c r="B832" s="19" t="str">
        <f t="shared" si="1"/>
        <v>Monday</v>
      </c>
      <c r="C832" s="19" t="str">
        <f>IF(D832="","",VLOOKUP(D832,Menu!$A$2:$B$105,2,0))</f>
        <v>Burger</v>
      </c>
      <c r="D832" s="19" t="s">
        <v>27</v>
      </c>
      <c r="E832" s="19" t="s">
        <v>5</v>
      </c>
      <c r="F832" s="19">
        <v>1.0</v>
      </c>
      <c r="G832" s="19">
        <f t="array" ref="G832">IF(OR(D832="",E832=""),"",IFERROR(CHOOSE(MATCH(E832,{"S","M","L","-"},0),VLOOKUP(D832,Menu!$A$2:$F$105,3,0),VLOOKUP(D832,Menu!$A$2:$F$105,4,0),VLOOKUP(D832,Menu!$A$2:$F$105,5,0),VLOOKUP(D832,Menu!$A$2:$F$105,6,0)),"N/A"))</f>
        <v>39</v>
      </c>
      <c r="H832" s="19">
        <f t="shared" si="2"/>
        <v>39</v>
      </c>
      <c r="I832" s="19">
        <f t="shared" si="4"/>
        <v>1366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8">
        <v>45292.0</v>
      </c>
      <c r="B833" s="19" t="str">
        <f t="shared" si="1"/>
        <v>Monday</v>
      </c>
      <c r="C833" s="19" t="str">
        <f>IF(D833="","",VLOOKUP(D833,Menu!$A$2:$B$105,2,0))</f>
        <v>Pizza</v>
      </c>
      <c r="D833" s="19" t="s">
        <v>9</v>
      </c>
      <c r="E833" s="19" t="s">
        <v>3</v>
      </c>
      <c r="F833" s="19">
        <v>1.0</v>
      </c>
      <c r="G833" s="19">
        <f t="array" ref="G833">IF(OR(D833="",E833=""),"",IFERROR(CHOOSE(MATCH(E833,{"S","M","L","-"},0),VLOOKUP(D833,Menu!$A$2:$F$105,3,0),VLOOKUP(D833,Menu!$A$2:$F$105,4,0),VLOOKUP(D833,Menu!$A$2:$F$105,5,0),VLOOKUP(D833,Menu!$A$2:$F$105,6,0)),"N/A"))</f>
        <v>109</v>
      </c>
      <c r="H833" s="19">
        <f t="shared" si="2"/>
        <v>109</v>
      </c>
      <c r="I833" s="19">
        <f t="shared" si="4"/>
        <v>1366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8">
        <v>45292.0</v>
      </c>
      <c r="B834" s="19" t="str">
        <f t="shared" si="1"/>
        <v>Monday</v>
      </c>
      <c r="C834" s="19" t="str">
        <f>IF(D834="","",VLOOKUP(D834,Menu!$A$2:$B$105,2,0))</f>
        <v>Pizza</v>
      </c>
      <c r="D834" s="19" t="s">
        <v>6</v>
      </c>
      <c r="E834" s="19" t="s">
        <v>2</v>
      </c>
      <c r="F834" s="19">
        <v>2.0</v>
      </c>
      <c r="G834" s="19">
        <f t="array" ref="G834">IF(OR(D834="",E834=""),"",IFERROR(CHOOSE(MATCH(E834,{"S","M","L","-"},0),VLOOKUP(D834,Menu!$A$2:$F$105,3,0),VLOOKUP(D834,Menu!$A$2:$F$105,4,0),VLOOKUP(D834,Menu!$A$2:$F$105,5,0),VLOOKUP(D834,Menu!$A$2:$F$105,6,0)),"N/A"))</f>
        <v>49</v>
      </c>
      <c r="H834" s="19">
        <f t="shared" si="2"/>
        <v>98</v>
      </c>
      <c r="I834" s="19">
        <f t="shared" si="4"/>
        <v>1366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6">
        <v>45294.0</v>
      </c>
      <c r="B835" s="17" t="str">
        <f t="shared" si="1"/>
        <v>Wednesday</v>
      </c>
      <c r="C835" s="17" t="str">
        <f>IF(D835="","",VLOOKUP(D835,Menu!$A$2:$B$105,2,0))</f>
        <v>Pizza</v>
      </c>
      <c r="D835" s="17" t="s">
        <v>25</v>
      </c>
      <c r="E835" s="17" t="s">
        <v>2</v>
      </c>
      <c r="F835" s="17">
        <v>1.0</v>
      </c>
      <c r="G835" s="17">
        <f t="array" ref="G835">IF(OR(D835="",E835=""),"",IFERROR(CHOOSE(MATCH(E835,{"S","M","L","-"},0),VLOOKUP(D835,Menu!$A$2:$F$105,3,0),VLOOKUP(D835,Menu!$A$2:$F$105,4,0),VLOOKUP(D835,Menu!$A$2:$F$105,5,0),VLOOKUP(D835,Menu!$A$2:$F$105,6,0)),"N/A"))</f>
        <v>170</v>
      </c>
      <c r="H835" s="17">
        <f t="shared" si="2"/>
        <v>170</v>
      </c>
      <c r="I835" s="17">
        <f t="shared" si="4"/>
        <v>1361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6">
        <v>45294.0</v>
      </c>
      <c r="B836" s="17" t="str">
        <f t="shared" si="1"/>
        <v>Wednesday</v>
      </c>
      <c r="C836" s="17" t="str">
        <f>IF(D836="","",VLOOKUP(D836,Menu!$A$2:$B$105,2,0))</f>
        <v>Shake</v>
      </c>
      <c r="D836" s="17" t="s">
        <v>38</v>
      </c>
      <c r="E836" s="17" t="s">
        <v>5</v>
      </c>
      <c r="F836" s="17">
        <v>1.0</v>
      </c>
      <c r="G836" s="17">
        <f t="array" ref="G836">IF(OR(D836="",E836=""),"",IFERROR(CHOOSE(MATCH(E836,{"S","M","L","-"},0),VLOOKUP(D836,Menu!$A$2:$F$105,3,0),VLOOKUP(D836,Menu!$A$2:$F$105,4,0),VLOOKUP(D836,Menu!$A$2:$F$105,5,0),VLOOKUP(D836,Menu!$A$2:$F$105,6,0)),"N/A"))</f>
        <v>70</v>
      </c>
      <c r="H836" s="17">
        <f t="shared" si="2"/>
        <v>70</v>
      </c>
      <c r="I836" s="17">
        <f t="shared" si="4"/>
        <v>1361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6">
        <v>45294.0</v>
      </c>
      <c r="B837" s="17" t="str">
        <f t="shared" si="1"/>
        <v>Wednesday</v>
      </c>
      <c r="C837" s="17" t="str">
        <f>IF(D837="","",VLOOKUP(D837,Menu!$A$2:$B$105,2,0))</f>
        <v>Dessert</v>
      </c>
      <c r="D837" s="17" t="s">
        <v>56</v>
      </c>
      <c r="E837" s="17" t="s">
        <v>5</v>
      </c>
      <c r="F837" s="17">
        <v>1.0</v>
      </c>
      <c r="G837" s="17">
        <f t="array" ref="G837">IF(OR(D837="",E837=""),"",IFERROR(CHOOSE(MATCH(E837,{"S","M","L","-"},0),VLOOKUP(D837,Menu!$A$2:$F$105,3,0),VLOOKUP(D837,Menu!$A$2:$F$105,4,0),VLOOKUP(D837,Menu!$A$2:$F$105,5,0),VLOOKUP(D837,Menu!$A$2:$F$105,6,0)),"N/A"))</f>
        <v>110</v>
      </c>
      <c r="H837" s="17">
        <f t="shared" si="2"/>
        <v>110</v>
      </c>
      <c r="I837" s="17">
        <f t="shared" si="4"/>
        <v>1361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6">
        <v>45294.0</v>
      </c>
      <c r="B838" s="17" t="str">
        <f t="shared" si="1"/>
        <v>Wednesday</v>
      </c>
      <c r="C838" s="17" t="str">
        <f>IF(D838="","",VLOOKUP(D838,Menu!$A$2:$B$105,2,0))</f>
        <v>Pizza</v>
      </c>
      <c r="D838" s="17" t="s">
        <v>11</v>
      </c>
      <c r="E838" s="17" t="s">
        <v>2</v>
      </c>
      <c r="F838" s="17">
        <v>1.0</v>
      </c>
      <c r="G838" s="17">
        <f t="array" ref="G838">IF(OR(D838="",E838=""),"",IFERROR(CHOOSE(MATCH(E838,{"S","M","L","-"},0),VLOOKUP(D838,Menu!$A$2:$F$105,3,0),VLOOKUP(D838,Menu!$A$2:$F$105,4,0),VLOOKUP(D838,Menu!$A$2:$F$105,5,0),VLOOKUP(D838,Menu!$A$2:$F$105,6,0)),"N/A"))</f>
        <v>69</v>
      </c>
      <c r="H838" s="17">
        <f t="shared" si="2"/>
        <v>69</v>
      </c>
      <c r="I838" s="17">
        <f t="shared" si="4"/>
        <v>1361</v>
      </c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6">
        <v>45294.0</v>
      </c>
      <c r="B839" s="17" t="str">
        <f t="shared" si="1"/>
        <v>Wednesday</v>
      </c>
      <c r="C839" s="17" t="str">
        <f>IF(D839="","",VLOOKUP(D839,Menu!$A$2:$B$105,2,0))</f>
        <v>Pizza</v>
      </c>
      <c r="D839" s="17" t="s">
        <v>8</v>
      </c>
      <c r="E839" s="17" t="s">
        <v>4</v>
      </c>
      <c r="F839" s="17">
        <v>1.0</v>
      </c>
      <c r="G839" s="17">
        <f t="array" ref="G839">IF(OR(D839="",E839=""),"",IFERROR(CHOOSE(MATCH(E839,{"S","M","L","-"},0),VLOOKUP(D839,Menu!$A$2:$F$105,3,0),VLOOKUP(D839,Menu!$A$2:$F$105,4,0),VLOOKUP(D839,Menu!$A$2:$F$105,5,0),VLOOKUP(D839,Menu!$A$2:$F$105,6,0)),"N/A"))</f>
        <v>199</v>
      </c>
      <c r="H839" s="17">
        <f t="shared" si="2"/>
        <v>199</v>
      </c>
      <c r="I839" s="17">
        <f t="shared" si="4"/>
        <v>1361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6">
        <v>45294.0</v>
      </c>
      <c r="B840" s="17" t="str">
        <f t="shared" si="1"/>
        <v>Wednesday</v>
      </c>
      <c r="C840" s="17" t="str">
        <f>IF(D840="","",VLOOKUP(D840,Menu!$A$2:$B$105,2,0))</f>
        <v>Add-on</v>
      </c>
      <c r="D840" s="17" t="s">
        <v>67</v>
      </c>
      <c r="E840" s="17" t="s">
        <v>5</v>
      </c>
      <c r="F840" s="17">
        <v>1.0</v>
      </c>
      <c r="G840" s="17">
        <f t="array" ref="G840">IF(OR(D840="",E840=""),"",IFERROR(CHOOSE(MATCH(E840,{"S","M","L","-"},0),VLOOKUP(D840,Menu!$A$2:$F$105,3,0),VLOOKUP(D840,Menu!$A$2:$F$105,4,0),VLOOKUP(D840,Menu!$A$2:$F$105,5,0),VLOOKUP(D840,Menu!$A$2:$F$105,6,0)),"N/A"))</f>
        <v>40</v>
      </c>
      <c r="H840" s="17">
        <f t="shared" si="2"/>
        <v>40</v>
      </c>
      <c r="I840" s="17">
        <f t="shared" si="4"/>
        <v>1361</v>
      </c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6">
        <v>45294.0</v>
      </c>
      <c r="B841" s="17" t="str">
        <f t="shared" si="1"/>
        <v>Wednesday</v>
      </c>
      <c r="C841" s="17" t="str">
        <f>IF(D841="","",VLOOKUP(D841,Menu!$A$2:$B$105,2,0))</f>
        <v>Pizza</v>
      </c>
      <c r="D841" s="17" t="s">
        <v>14</v>
      </c>
      <c r="E841" s="17" t="s">
        <v>2</v>
      </c>
      <c r="F841" s="17">
        <v>2.0</v>
      </c>
      <c r="G841" s="17">
        <f t="array" ref="G841">IF(OR(D841="",E841=""),"",IFERROR(CHOOSE(MATCH(E841,{"S","M","L","-"},0),VLOOKUP(D841,Menu!$A$2:$F$105,3,0),VLOOKUP(D841,Menu!$A$2:$F$105,4,0),VLOOKUP(D841,Menu!$A$2:$F$105,5,0),VLOOKUP(D841,Menu!$A$2:$F$105,6,0)),"N/A"))</f>
        <v>79</v>
      </c>
      <c r="H841" s="17">
        <f t="shared" si="2"/>
        <v>158</v>
      </c>
      <c r="I841" s="17">
        <f t="shared" si="4"/>
        <v>1361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6">
        <v>45294.0</v>
      </c>
      <c r="B842" s="17" t="str">
        <f t="shared" si="1"/>
        <v>Wednesday</v>
      </c>
      <c r="C842" s="17" t="str">
        <f>IF(D842="","",VLOOKUP(D842,Menu!$A$2:$B$105,2,0))</f>
        <v>Pizza</v>
      </c>
      <c r="D842" s="17" t="s">
        <v>11</v>
      </c>
      <c r="E842" s="17" t="s">
        <v>3</v>
      </c>
      <c r="F842" s="17">
        <v>5.0</v>
      </c>
      <c r="G842" s="17">
        <f t="array" ref="G842">IF(OR(D842="",E842=""),"",IFERROR(CHOOSE(MATCH(E842,{"S","M","L","-"},0),VLOOKUP(D842,Menu!$A$2:$F$105,3,0),VLOOKUP(D842,Menu!$A$2:$F$105,4,0),VLOOKUP(D842,Menu!$A$2:$F$105,5,0),VLOOKUP(D842,Menu!$A$2:$F$105,6,0)),"N/A"))</f>
        <v>109</v>
      </c>
      <c r="H842" s="17">
        <f t="shared" si="2"/>
        <v>545</v>
      </c>
      <c r="I842" s="17">
        <f t="shared" si="4"/>
        <v>1361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8">
        <v>45295.0</v>
      </c>
      <c r="B843" s="19" t="str">
        <f t="shared" si="1"/>
        <v>Thursday</v>
      </c>
      <c r="C843" s="19" t="str">
        <f>IF(D843="","",VLOOKUP(D843,Menu!$A$2:$B$105,2,0))</f>
        <v>Pizza</v>
      </c>
      <c r="D843" s="19" t="s">
        <v>25</v>
      </c>
      <c r="E843" s="19" t="s">
        <v>4</v>
      </c>
      <c r="F843" s="19">
        <v>1.0</v>
      </c>
      <c r="G843" s="19">
        <f t="array" ref="G843">IF(OR(D843="",E843=""),"",IFERROR(CHOOSE(MATCH(E843,{"S","M","L","-"},0),VLOOKUP(D843,Menu!$A$2:$F$105,3,0),VLOOKUP(D843,Menu!$A$2:$F$105,4,0),VLOOKUP(D843,Menu!$A$2:$F$105,5,0),VLOOKUP(D843,Menu!$A$2:$F$105,6,0)),"N/A"))</f>
        <v>370</v>
      </c>
      <c r="H843" s="19">
        <f t="shared" si="2"/>
        <v>370</v>
      </c>
      <c r="I843" s="19">
        <f t="shared" si="4"/>
        <v>440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8">
        <v>45295.0</v>
      </c>
      <c r="B844" s="19" t="str">
        <f t="shared" si="1"/>
        <v>Thursday</v>
      </c>
      <c r="C844" s="19" t="str">
        <f>IF(D844="","",VLOOKUP(D844,Menu!$A$2:$B$105,2,0))</f>
        <v>Shake</v>
      </c>
      <c r="D844" s="19" t="s">
        <v>38</v>
      </c>
      <c r="E844" s="19" t="s">
        <v>5</v>
      </c>
      <c r="F844" s="19">
        <v>1.0</v>
      </c>
      <c r="G844" s="19">
        <f t="array" ref="G844">IF(OR(D844="",E844=""),"",IFERROR(CHOOSE(MATCH(E844,{"S","M","L","-"},0),VLOOKUP(D844,Menu!$A$2:$F$105,3,0),VLOOKUP(D844,Menu!$A$2:$F$105,4,0),VLOOKUP(D844,Menu!$A$2:$F$105,5,0),VLOOKUP(D844,Menu!$A$2:$F$105,6,0)),"N/A"))</f>
        <v>70</v>
      </c>
      <c r="H844" s="19">
        <f t="shared" si="2"/>
        <v>70</v>
      </c>
      <c r="I844" s="19">
        <f t="shared" si="4"/>
        <v>440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6">
        <v>45296.0</v>
      </c>
      <c r="B845" s="17" t="str">
        <f t="shared" si="1"/>
        <v>Friday</v>
      </c>
      <c r="C845" s="17" t="str">
        <f>IF(D845="","",VLOOKUP(D845,Menu!$A$2:$B$105,2,0))</f>
        <v>Pizza</v>
      </c>
      <c r="D845" s="17" t="s">
        <v>9</v>
      </c>
      <c r="E845" s="17" t="s">
        <v>2</v>
      </c>
      <c r="F845" s="17">
        <v>3.0</v>
      </c>
      <c r="G845" s="17">
        <f t="array" ref="G845">IF(OR(D845="",E845=""),"",IFERROR(CHOOSE(MATCH(E845,{"S","M","L","-"},0),VLOOKUP(D845,Menu!$A$2:$F$105,3,0),VLOOKUP(D845,Menu!$A$2:$F$105,4,0),VLOOKUP(D845,Menu!$A$2:$F$105,5,0),VLOOKUP(D845,Menu!$A$2:$F$105,6,0)),"N/A"))</f>
        <v>59</v>
      </c>
      <c r="H845" s="17">
        <f t="shared" si="2"/>
        <v>177</v>
      </c>
      <c r="I845" s="17">
        <f t="shared" si="4"/>
        <v>1119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6">
        <v>45296.0</v>
      </c>
      <c r="B846" s="17" t="str">
        <f t="shared" si="1"/>
        <v>Friday</v>
      </c>
      <c r="C846" s="17" t="str">
        <f>IF(D846="","",VLOOKUP(D846,Menu!$A$2:$B$105,2,0))</f>
        <v>Pizza</v>
      </c>
      <c r="D846" s="17" t="s">
        <v>14</v>
      </c>
      <c r="E846" s="17" t="s">
        <v>2</v>
      </c>
      <c r="F846" s="17">
        <v>2.0</v>
      </c>
      <c r="G846" s="17">
        <f t="array" ref="G846">IF(OR(D846="",E846=""),"",IFERROR(CHOOSE(MATCH(E846,{"S","M","L","-"},0),VLOOKUP(D846,Menu!$A$2:$F$105,3,0),VLOOKUP(D846,Menu!$A$2:$F$105,4,0),VLOOKUP(D846,Menu!$A$2:$F$105,5,0),VLOOKUP(D846,Menu!$A$2:$F$105,6,0)),"N/A"))</f>
        <v>79</v>
      </c>
      <c r="H846" s="17">
        <f t="shared" si="2"/>
        <v>158</v>
      </c>
      <c r="I846" s="17">
        <f t="shared" si="4"/>
        <v>1119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6">
        <v>45296.0</v>
      </c>
      <c r="B847" s="17" t="str">
        <f t="shared" si="1"/>
        <v>Friday</v>
      </c>
      <c r="C847" s="17" t="str">
        <f>IF(D847="","",VLOOKUP(D847,Menu!$A$2:$B$105,2,0))</f>
        <v>Pizza</v>
      </c>
      <c r="D847" s="17" t="s">
        <v>25</v>
      </c>
      <c r="E847" s="17" t="s">
        <v>2</v>
      </c>
      <c r="F847" s="17">
        <v>2.0</v>
      </c>
      <c r="G847" s="17">
        <f t="array" ref="G847">IF(OR(D847="",E847=""),"",IFERROR(CHOOSE(MATCH(E847,{"S","M","L","-"},0),VLOOKUP(D847,Menu!$A$2:$F$105,3,0),VLOOKUP(D847,Menu!$A$2:$F$105,4,0),VLOOKUP(D847,Menu!$A$2:$F$105,5,0),VLOOKUP(D847,Menu!$A$2:$F$105,6,0)),"N/A"))</f>
        <v>170</v>
      </c>
      <c r="H847" s="17">
        <f t="shared" si="2"/>
        <v>340</v>
      </c>
      <c r="I847" s="17">
        <f t="shared" si="4"/>
        <v>1119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6">
        <v>45296.0</v>
      </c>
      <c r="B848" s="17" t="str">
        <f t="shared" si="1"/>
        <v>Friday</v>
      </c>
      <c r="C848" s="17" t="str">
        <f>IF(D848="","",VLOOKUP(D848,Menu!$A$2:$B$105,2,0))</f>
        <v>Pizza</v>
      </c>
      <c r="D848" s="17" t="s">
        <v>8</v>
      </c>
      <c r="E848" s="17" t="s">
        <v>2</v>
      </c>
      <c r="F848" s="17">
        <v>2.0</v>
      </c>
      <c r="G848" s="17">
        <f t="array" ref="G848">IF(OR(D848="",E848=""),"",IFERROR(CHOOSE(MATCH(E848,{"S","M","L","-"},0),VLOOKUP(D848,Menu!$A$2:$F$105,3,0),VLOOKUP(D848,Menu!$A$2:$F$105,4,0),VLOOKUP(D848,Menu!$A$2:$F$105,5,0),VLOOKUP(D848,Menu!$A$2:$F$105,6,0)),"N/A"))</f>
        <v>59</v>
      </c>
      <c r="H848" s="17">
        <f t="shared" si="2"/>
        <v>118</v>
      </c>
      <c r="I848" s="17">
        <f t="shared" si="4"/>
        <v>1119</v>
      </c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6">
        <v>45296.0</v>
      </c>
      <c r="B849" s="17" t="str">
        <f t="shared" si="1"/>
        <v>Friday</v>
      </c>
      <c r="C849" s="17" t="str">
        <f>IF(D849="","",VLOOKUP(D849,Menu!$A$2:$B$105,2,0))</f>
        <v>Burger</v>
      </c>
      <c r="D849" s="17" t="s">
        <v>27</v>
      </c>
      <c r="E849" s="17" t="s">
        <v>5</v>
      </c>
      <c r="F849" s="17">
        <v>3.0</v>
      </c>
      <c r="G849" s="17">
        <f t="array" ref="G849">IF(OR(D849="",E849=""),"",IFERROR(CHOOSE(MATCH(E849,{"S","M","L","-"},0),VLOOKUP(D849,Menu!$A$2:$F$105,3,0),VLOOKUP(D849,Menu!$A$2:$F$105,4,0),VLOOKUP(D849,Menu!$A$2:$F$105,5,0),VLOOKUP(D849,Menu!$A$2:$F$105,6,0)),"N/A"))</f>
        <v>39</v>
      </c>
      <c r="H849" s="17">
        <f t="shared" si="2"/>
        <v>117</v>
      </c>
      <c r="I849" s="17">
        <f t="shared" si="4"/>
        <v>1119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6">
        <v>45296.0</v>
      </c>
      <c r="B850" s="17" t="str">
        <f t="shared" si="1"/>
        <v>Friday</v>
      </c>
      <c r="C850" s="17" t="str">
        <f>IF(D850="","",VLOOKUP(D850,Menu!$A$2:$B$105,2,0))</f>
        <v>Pizza</v>
      </c>
      <c r="D850" s="17" t="s">
        <v>21</v>
      </c>
      <c r="E850" s="17" t="s">
        <v>3</v>
      </c>
      <c r="F850" s="17">
        <v>1.0</v>
      </c>
      <c r="G850" s="17">
        <f t="array" ref="G850">IF(OR(D850="",E850=""),"",IFERROR(CHOOSE(MATCH(E850,{"S","M","L","-"},0),VLOOKUP(D850,Menu!$A$2:$F$105,3,0),VLOOKUP(D850,Menu!$A$2:$F$105,4,0),VLOOKUP(D850,Menu!$A$2:$F$105,5,0),VLOOKUP(D850,Menu!$A$2:$F$105,6,0)),"N/A"))</f>
        <v>209</v>
      </c>
      <c r="H850" s="17">
        <f t="shared" si="2"/>
        <v>209</v>
      </c>
      <c r="I850" s="17">
        <f t="shared" si="4"/>
        <v>1119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8">
        <v>45297.0</v>
      </c>
      <c r="B851" s="19" t="str">
        <f t="shared" si="1"/>
        <v>Saturday</v>
      </c>
      <c r="C851" s="19" t="str">
        <f>IF(D851="","",VLOOKUP(D851,Menu!$A$2:$B$105,2,0))</f>
        <v>Pizza</v>
      </c>
      <c r="D851" s="19" t="s">
        <v>11</v>
      </c>
      <c r="E851" s="19" t="s">
        <v>2</v>
      </c>
      <c r="F851" s="19">
        <v>1.0</v>
      </c>
      <c r="G851" s="19">
        <f t="array" ref="G851">IF(OR(D851="",E851=""),"",IFERROR(CHOOSE(MATCH(E851,{"S","M","L","-"},0),VLOOKUP(D851,Menu!$A$2:$F$105,3,0),VLOOKUP(D851,Menu!$A$2:$F$105,4,0),VLOOKUP(D851,Menu!$A$2:$F$105,5,0),VLOOKUP(D851,Menu!$A$2:$F$105,6,0)),"N/A"))</f>
        <v>69</v>
      </c>
      <c r="H851" s="19">
        <f t="shared" si="2"/>
        <v>69</v>
      </c>
      <c r="I851" s="19">
        <f t="shared" si="4"/>
        <v>919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8">
        <v>45297.0</v>
      </c>
      <c r="B852" s="19" t="str">
        <f t="shared" si="1"/>
        <v>Saturday</v>
      </c>
      <c r="C852" s="19" t="str">
        <f>IF(D852="","",VLOOKUP(D852,Menu!$A$2:$B$105,2,0))</f>
        <v>Burger</v>
      </c>
      <c r="D852" s="19" t="s">
        <v>29</v>
      </c>
      <c r="E852" s="19" t="s">
        <v>5</v>
      </c>
      <c r="F852" s="19">
        <v>2.0</v>
      </c>
      <c r="G852" s="19">
        <f t="array" ref="G852">IF(OR(D852="",E852=""),"",IFERROR(CHOOSE(MATCH(E852,{"S","M","L","-"},0),VLOOKUP(D852,Menu!$A$2:$F$105,3,0),VLOOKUP(D852,Menu!$A$2:$F$105,4,0),VLOOKUP(D852,Menu!$A$2:$F$105,5,0),VLOOKUP(D852,Menu!$A$2:$F$105,6,0)),"N/A"))</f>
        <v>59</v>
      </c>
      <c r="H852" s="19">
        <f t="shared" si="2"/>
        <v>118</v>
      </c>
      <c r="I852" s="19">
        <f t="shared" si="4"/>
        <v>919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8">
        <v>45297.0</v>
      </c>
      <c r="B853" s="19" t="str">
        <f t="shared" si="1"/>
        <v>Saturday</v>
      </c>
      <c r="C853" s="19" t="str">
        <f>IF(D853="","",VLOOKUP(D853,Menu!$A$2:$B$105,2,0))</f>
        <v>Pizza</v>
      </c>
      <c r="D853" s="19" t="s">
        <v>20</v>
      </c>
      <c r="E853" s="19" t="s">
        <v>3</v>
      </c>
      <c r="F853" s="19">
        <v>1.0</v>
      </c>
      <c r="G853" s="19">
        <f t="array" ref="G853">IF(OR(D853="",E853=""),"",IFERROR(CHOOSE(MATCH(E853,{"S","M","L","-"},0),VLOOKUP(D853,Menu!$A$2:$F$105,3,0),VLOOKUP(D853,Menu!$A$2:$F$105,4,0),VLOOKUP(D853,Menu!$A$2:$F$105,5,0),VLOOKUP(D853,Menu!$A$2:$F$105,6,0)),"N/A"))</f>
        <v>199</v>
      </c>
      <c r="H853" s="19">
        <f t="shared" si="2"/>
        <v>199</v>
      </c>
      <c r="I853" s="19">
        <f t="shared" si="4"/>
        <v>919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8">
        <v>45297.0</v>
      </c>
      <c r="B854" s="19" t="str">
        <f t="shared" si="1"/>
        <v>Saturday</v>
      </c>
      <c r="C854" s="19" t="str">
        <f>IF(D854="","",VLOOKUP(D854,Menu!$A$2:$B$105,2,0))</f>
        <v>Burger</v>
      </c>
      <c r="D854" s="19" t="s">
        <v>27</v>
      </c>
      <c r="E854" s="19" t="s">
        <v>5</v>
      </c>
      <c r="F854" s="19">
        <v>2.0</v>
      </c>
      <c r="G854" s="19">
        <f t="array" ref="G854">IF(OR(D854="",E854=""),"",IFERROR(CHOOSE(MATCH(E854,{"S","M","L","-"},0),VLOOKUP(D854,Menu!$A$2:$F$105,3,0),VLOOKUP(D854,Menu!$A$2:$F$105,4,0),VLOOKUP(D854,Menu!$A$2:$F$105,5,0),VLOOKUP(D854,Menu!$A$2:$F$105,6,0)),"N/A"))</f>
        <v>39</v>
      </c>
      <c r="H854" s="19">
        <f t="shared" si="2"/>
        <v>78</v>
      </c>
      <c r="I854" s="19">
        <f t="shared" si="4"/>
        <v>919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8">
        <v>45297.0</v>
      </c>
      <c r="B855" s="19" t="str">
        <f t="shared" si="1"/>
        <v>Saturday</v>
      </c>
      <c r="C855" s="19" t="str">
        <f>IF(D855="","",VLOOKUP(D855,Menu!$A$2:$B$105,2,0))</f>
        <v>Pizza</v>
      </c>
      <c r="D855" s="19" t="s">
        <v>18</v>
      </c>
      <c r="E855" s="19" t="s">
        <v>3</v>
      </c>
      <c r="F855" s="19">
        <v>1.0</v>
      </c>
      <c r="G855" s="19">
        <f t="array" ref="G855">IF(OR(D855="",E855=""),"",IFERROR(CHOOSE(MATCH(E855,{"S","M","L","-"},0),VLOOKUP(D855,Menu!$A$2:$F$105,3,0),VLOOKUP(D855,Menu!$A$2:$F$105,4,0),VLOOKUP(D855,Menu!$A$2:$F$105,5,0),VLOOKUP(D855,Menu!$A$2:$F$105,6,0)),"N/A"))</f>
        <v>199</v>
      </c>
      <c r="H855" s="19">
        <f t="shared" si="2"/>
        <v>199</v>
      </c>
      <c r="I855" s="19">
        <f t="shared" si="4"/>
        <v>919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8">
        <v>45297.0</v>
      </c>
      <c r="B856" s="19" t="str">
        <f t="shared" si="1"/>
        <v>Saturday</v>
      </c>
      <c r="C856" s="19" t="str">
        <f>IF(D856="","",VLOOKUP(D856,Menu!$A$2:$B$105,2,0))</f>
        <v>Pizza</v>
      </c>
      <c r="D856" s="19" t="s">
        <v>6</v>
      </c>
      <c r="E856" s="19" t="s">
        <v>2</v>
      </c>
      <c r="F856" s="19">
        <v>3.0</v>
      </c>
      <c r="G856" s="19">
        <f t="array" ref="G856">IF(OR(D856="",E856=""),"",IFERROR(CHOOSE(MATCH(E856,{"S","M","L","-"},0),VLOOKUP(D856,Menu!$A$2:$F$105,3,0),VLOOKUP(D856,Menu!$A$2:$F$105,4,0),VLOOKUP(D856,Menu!$A$2:$F$105,5,0),VLOOKUP(D856,Menu!$A$2:$F$105,6,0)),"N/A"))</f>
        <v>49</v>
      </c>
      <c r="H856" s="19">
        <f t="shared" si="2"/>
        <v>147</v>
      </c>
      <c r="I856" s="19">
        <f t="shared" si="4"/>
        <v>919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8">
        <v>45297.0</v>
      </c>
      <c r="B857" s="19" t="str">
        <f t="shared" si="1"/>
        <v>Saturday</v>
      </c>
      <c r="C857" s="19" t="str">
        <f>IF(D857="","",VLOOKUP(D857,Menu!$A$2:$B$105,2,0))</f>
        <v>Pizza</v>
      </c>
      <c r="D857" s="19" t="s">
        <v>10</v>
      </c>
      <c r="E857" s="19" t="s">
        <v>3</v>
      </c>
      <c r="F857" s="19">
        <v>1.0</v>
      </c>
      <c r="G857" s="19">
        <f t="array" ref="G857">IF(OR(D857="",E857=""),"",IFERROR(CHOOSE(MATCH(E857,{"S","M","L","-"},0),VLOOKUP(D857,Menu!$A$2:$F$105,3,0),VLOOKUP(D857,Menu!$A$2:$F$105,4,0),VLOOKUP(D857,Menu!$A$2:$F$105,5,0),VLOOKUP(D857,Menu!$A$2:$F$105,6,0)),"N/A"))</f>
        <v>109</v>
      </c>
      <c r="H857" s="19">
        <f t="shared" si="2"/>
        <v>109</v>
      </c>
      <c r="I857" s="19">
        <f t="shared" si="4"/>
        <v>919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6">
        <v>45298.0</v>
      </c>
      <c r="B858" s="17" t="str">
        <f t="shared" si="1"/>
        <v>Sunday</v>
      </c>
      <c r="C858" s="17" t="str">
        <f>IF(D858="","",VLOOKUP(D858,Menu!$A$2:$B$105,2,0))</f>
        <v>Pizza</v>
      </c>
      <c r="D858" s="17" t="s">
        <v>19</v>
      </c>
      <c r="E858" s="17" t="s">
        <v>4</v>
      </c>
      <c r="F858" s="17">
        <v>1.0</v>
      </c>
      <c r="G858" s="17">
        <f t="array" ref="G858">IF(OR(D858="",E858=""),"",IFERROR(CHOOSE(MATCH(E858,{"S","M","L","-"},0),VLOOKUP(D858,Menu!$A$2:$F$105,3,0),VLOOKUP(D858,Menu!$A$2:$F$105,4,0),VLOOKUP(D858,Menu!$A$2:$F$105,5,0),VLOOKUP(D858,Menu!$A$2:$F$105,6,0)),"N/A"))</f>
        <v>289</v>
      </c>
      <c r="H858" s="17">
        <f t="shared" si="2"/>
        <v>289</v>
      </c>
      <c r="I858" s="17">
        <f t="shared" si="4"/>
        <v>1539</v>
      </c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6">
        <v>45298.0</v>
      </c>
      <c r="B859" s="17" t="str">
        <f t="shared" si="1"/>
        <v>Sunday</v>
      </c>
      <c r="C859" s="17" t="str">
        <f>IF(D859="","",VLOOKUP(D859,Menu!$A$2:$B$105,2,0))</f>
        <v>Pizza</v>
      </c>
      <c r="D859" s="17" t="s">
        <v>18</v>
      </c>
      <c r="E859" s="17" t="s">
        <v>4</v>
      </c>
      <c r="F859" s="17">
        <v>1.0</v>
      </c>
      <c r="G859" s="17">
        <f t="array" ref="G859">IF(OR(D859="",E859=""),"",IFERROR(CHOOSE(MATCH(E859,{"S","M","L","-"},0),VLOOKUP(D859,Menu!$A$2:$F$105,3,0),VLOOKUP(D859,Menu!$A$2:$F$105,4,0),VLOOKUP(D859,Menu!$A$2:$F$105,5,0),VLOOKUP(D859,Menu!$A$2:$F$105,6,0)),"N/A"))</f>
        <v>299</v>
      </c>
      <c r="H859" s="17">
        <f t="shared" si="2"/>
        <v>299</v>
      </c>
      <c r="I859" s="17">
        <f t="shared" si="4"/>
        <v>1539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6">
        <v>45298.0</v>
      </c>
      <c r="B860" s="17" t="str">
        <f t="shared" si="1"/>
        <v>Sunday</v>
      </c>
      <c r="C860" s="17" t="str">
        <f>IF(D860="","",VLOOKUP(D860,Menu!$A$2:$B$105,2,0))</f>
        <v>Pizza</v>
      </c>
      <c r="D860" s="17" t="s">
        <v>15</v>
      </c>
      <c r="E860" s="17" t="s">
        <v>2</v>
      </c>
      <c r="F860" s="17">
        <v>1.0</v>
      </c>
      <c r="G860" s="17">
        <f t="array" ref="G860">IF(OR(D860="",E860=""),"",IFERROR(CHOOSE(MATCH(E860,{"S","M","L","-"},0),VLOOKUP(D860,Menu!$A$2:$F$105,3,0),VLOOKUP(D860,Menu!$A$2:$F$105,4,0),VLOOKUP(D860,Menu!$A$2:$F$105,5,0),VLOOKUP(D860,Menu!$A$2:$F$105,6,0)),"N/A"))</f>
        <v>99</v>
      </c>
      <c r="H860" s="17">
        <f t="shared" si="2"/>
        <v>99</v>
      </c>
      <c r="I860" s="17">
        <f t="shared" si="4"/>
        <v>1539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6">
        <v>45298.0</v>
      </c>
      <c r="B861" s="17" t="str">
        <f t="shared" si="1"/>
        <v>Sunday</v>
      </c>
      <c r="C861" s="17" t="str">
        <f>IF(D861="","",VLOOKUP(D861,Menu!$A$2:$B$105,2,0))</f>
        <v>Burger</v>
      </c>
      <c r="D861" s="17" t="s">
        <v>29</v>
      </c>
      <c r="E861" s="17" t="s">
        <v>5</v>
      </c>
      <c r="F861" s="17">
        <v>4.0</v>
      </c>
      <c r="G861" s="17">
        <f t="array" ref="G861">IF(OR(D861="",E861=""),"",IFERROR(CHOOSE(MATCH(E861,{"S","M","L","-"},0),VLOOKUP(D861,Menu!$A$2:$F$105,3,0),VLOOKUP(D861,Menu!$A$2:$F$105,4,0),VLOOKUP(D861,Menu!$A$2:$F$105,5,0),VLOOKUP(D861,Menu!$A$2:$F$105,6,0)),"N/A"))</f>
        <v>59</v>
      </c>
      <c r="H861" s="17">
        <f t="shared" si="2"/>
        <v>236</v>
      </c>
      <c r="I861" s="17">
        <f t="shared" si="4"/>
        <v>1539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6">
        <v>45298.0</v>
      </c>
      <c r="B862" s="17" t="str">
        <f t="shared" si="1"/>
        <v>Sunday</v>
      </c>
      <c r="C862" s="17" t="str">
        <f>IF(D862="","",VLOOKUP(D862,Menu!$A$2:$B$105,2,0))</f>
        <v>Pizza</v>
      </c>
      <c r="D862" s="17" t="s">
        <v>8</v>
      </c>
      <c r="E862" s="17" t="s">
        <v>2</v>
      </c>
      <c r="F862" s="17">
        <v>1.0</v>
      </c>
      <c r="G862" s="17">
        <f t="array" ref="G862">IF(OR(D862="",E862=""),"",IFERROR(CHOOSE(MATCH(E862,{"S","M","L","-"},0),VLOOKUP(D862,Menu!$A$2:$F$105,3,0),VLOOKUP(D862,Menu!$A$2:$F$105,4,0),VLOOKUP(D862,Menu!$A$2:$F$105,5,0),VLOOKUP(D862,Menu!$A$2:$F$105,6,0)),"N/A"))</f>
        <v>59</v>
      </c>
      <c r="H862" s="17">
        <f t="shared" si="2"/>
        <v>59</v>
      </c>
      <c r="I862" s="17">
        <f t="shared" si="4"/>
        <v>1539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6">
        <v>45298.0</v>
      </c>
      <c r="B863" s="17" t="str">
        <f t="shared" si="1"/>
        <v>Sunday</v>
      </c>
      <c r="C863" s="17" t="str">
        <f>IF(D863="","",VLOOKUP(D863,Menu!$A$2:$B$105,2,0))</f>
        <v>Pizza</v>
      </c>
      <c r="D863" s="17" t="s">
        <v>12</v>
      </c>
      <c r="E863" s="17" t="s">
        <v>4</v>
      </c>
      <c r="F863" s="17">
        <v>1.0</v>
      </c>
      <c r="G863" s="17">
        <f t="array" ref="G863">IF(OR(D863="",E863=""),"",IFERROR(CHOOSE(MATCH(E863,{"S","M","L","-"},0),VLOOKUP(D863,Menu!$A$2:$F$105,3,0),VLOOKUP(D863,Menu!$A$2:$F$105,4,0),VLOOKUP(D863,Menu!$A$2:$F$105,5,0),VLOOKUP(D863,Menu!$A$2:$F$105,6,0)),"N/A"))</f>
        <v>209</v>
      </c>
      <c r="H863" s="17">
        <f t="shared" si="2"/>
        <v>209</v>
      </c>
      <c r="I863" s="17">
        <f t="shared" si="4"/>
        <v>1539</v>
      </c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6">
        <v>45298.0</v>
      </c>
      <c r="B864" s="17" t="str">
        <f t="shared" si="1"/>
        <v>Sunday</v>
      </c>
      <c r="C864" s="17" t="str">
        <f>IF(D864="","",VLOOKUP(D864,Menu!$A$2:$B$105,2,0))</f>
        <v>Pizza</v>
      </c>
      <c r="D864" s="17" t="s">
        <v>17</v>
      </c>
      <c r="E864" s="17" t="s">
        <v>4</v>
      </c>
      <c r="F864" s="17">
        <v>1.0</v>
      </c>
      <c r="G864" s="17">
        <f t="array" ref="G864">IF(OR(D864="",E864=""),"",IFERROR(CHOOSE(MATCH(E864,{"S","M","L","-"},0),VLOOKUP(D864,Menu!$A$2:$F$105,3,0),VLOOKUP(D864,Menu!$A$2:$F$105,4,0),VLOOKUP(D864,Menu!$A$2:$F$105,5,0),VLOOKUP(D864,Menu!$A$2:$F$105,6,0)),"N/A"))</f>
        <v>299</v>
      </c>
      <c r="H864" s="17">
        <f t="shared" si="2"/>
        <v>299</v>
      </c>
      <c r="I864" s="17">
        <f t="shared" si="4"/>
        <v>1539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6">
        <v>45298.0</v>
      </c>
      <c r="B865" s="17" t="str">
        <f t="shared" si="1"/>
        <v>Sunday</v>
      </c>
      <c r="C865" s="17" t="str">
        <f>IF(D865="","",VLOOKUP(D865,Menu!$A$2:$B$105,2,0))</f>
        <v>Pizza</v>
      </c>
      <c r="D865" s="17" t="s">
        <v>6</v>
      </c>
      <c r="E865" s="17" t="s">
        <v>2</v>
      </c>
      <c r="F865" s="17">
        <v>1.0</v>
      </c>
      <c r="G865" s="17">
        <f t="array" ref="G865">IF(OR(D865="",E865=""),"",IFERROR(CHOOSE(MATCH(E865,{"S","M","L","-"},0),VLOOKUP(D865,Menu!$A$2:$F$105,3,0),VLOOKUP(D865,Menu!$A$2:$F$105,4,0),VLOOKUP(D865,Menu!$A$2:$F$105,5,0),VLOOKUP(D865,Menu!$A$2:$F$105,6,0)),"N/A"))</f>
        <v>49</v>
      </c>
      <c r="H865" s="17">
        <f t="shared" si="2"/>
        <v>49</v>
      </c>
      <c r="I865" s="17">
        <f t="shared" si="4"/>
        <v>1539</v>
      </c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8">
        <v>45299.0</v>
      </c>
      <c r="B866" s="19" t="str">
        <f t="shared" si="1"/>
        <v>Monday</v>
      </c>
      <c r="C866" s="19" t="str">
        <f>IF(D866="","",VLOOKUP(D866,Menu!$A$2:$B$105,2,0))</f>
        <v>Pizza</v>
      </c>
      <c r="D866" s="19" t="s">
        <v>25</v>
      </c>
      <c r="E866" s="19" t="s">
        <v>3</v>
      </c>
      <c r="F866" s="19">
        <v>1.0</v>
      </c>
      <c r="G866" s="19">
        <f t="array" ref="G866">IF(OR(D866="",E866=""),"",IFERROR(CHOOSE(MATCH(E866,{"S","M","L","-"},0),VLOOKUP(D866,Menu!$A$2:$F$105,3,0),VLOOKUP(D866,Menu!$A$2:$F$105,4,0),VLOOKUP(D866,Menu!$A$2:$F$105,5,0),VLOOKUP(D866,Menu!$A$2:$F$105,6,0)),"N/A"))</f>
        <v>279</v>
      </c>
      <c r="H866" s="19">
        <f t="shared" si="2"/>
        <v>279</v>
      </c>
      <c r="I866" s="19">
        <f t="shared" si="4"/>
        <v>1857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8">
        <v>45299.0</v>
      </c>
      <c r="B867" s="19" t="str">
        <f t="shared" si="1"/>
        <v>Monday</v>
      </c>
      <c r="C867" s="19" t="str">
        <f>IF(D867="","",VLOOKUP(D867,Menu!$A$2:$B$105,2,0))</f>
        <v>Burger</v>
      </c>
      <c r="D867" s="19" t="s">
        <v>27</v>
      </c>
      <c r="E867" s="19" t="s">
        <v>5</v>
      </c>
      <c r="F867" s="19">
        <v>2.0</v>
      </c>
      <c r="G867" s="19">
        <f t="array" ref="G867">IF(OR(D867="",E867=""),"",IFERROR(CHOOSE(MATCH(E867,{"S","M","L","-"},0),VLOOKUP(D867,Menu!$A$2:$F$105,3,0),VLOOKUP(D867,Menu!$A$2:$F$105,4,0),VLOOKUP(D867,Menu!$A$2:$F$105,5,0),VLOOKUP(D867,Menu!$A$2:$F$105,6,0)),"N/A"))</f>
        <v>39</v>
      </c>
      <c r="H867" s="19">
        <f t="shared" si="2"/>
        <v>78</v>
      </c>
      <c r="I867" s="19">
        <f t="shared" si="4"/>
        <v>1857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8">
        <v>45299.0</v>
      </c>
      <c r="B868" s="19" t="str">
        <f t="shared" si="1"/>
        <v>Monday</v>
      </c>
      <c r="C868" s="19" t="str">
        <f>IF(D868="","",VLOOKUP(D868,Menu!$A$2:$B$105,2,0))</f>
        <v>Burger</v>
      </c>
      <c r="D868" s="19" t="s">
        <v>29</v>
      </c>
      <c r="E868" s="19" t="s">
        <v>5</v>
      </c>
      <c r="F868" s="19">
        <v>3.0</v>
      </c>
      <c r="G868" s="19">
        <f t="array" ref="G868">IF(OR(D868="",E868=""),"",IFERROR(CHOOSE(MATCH(E868,{"S","M","L","-"},0),VLOOKUP(D868,Menu!$A$2:$F$105,3,0),VLOOKUP(D868,Menu!$A$2:$F$105,4,0),VLOOKUP(D868,Menu!$A$2:$F$105,5,0),VLOOKUP(D868,Menu!$A$2:$F$105,6,0)),"N/A"))</f>
        <v>59</v>
      </c>
      <c r="H868" s="19">
        <f t="shared" si="2"/>
        <v>177</v>
      </c>
      <c r="I868" s="19">
        <f t="shared" si="4"/>
        <v>1857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8">
        <v>45299.0</v>
      </c>
      <c r="B869" s="19" t="str">
        <f t="shared" si="1"/>
        <v>Monday</v>
      </c>
      <c r="C869" s="19" t="str">
        <f>IF(D869="","",VLOOKUP(D869,Menu!$A$2:$B$105,2,0))</f>
        <v>Hot Dog</v>
      </c>
      <c r="D869" s="19" t="s">
        <v>32</v>
      </c>
      <c r="E869" s="19" t="s">
        <v>5</v>
      </c>
      <c r="F869" s="19">
        <v>3.0</v>
      </c>
      <c r="G869" s="19">
        <f t="array" ref="G869">IF(OR(D869="",E869=""),"",IFERROR(CHOOSE(MATCH(E869,{"S","M","L","-"},0),VLOOKUP(D869,Menu!$A$2:$F$105,3,0),VLOOKUP(D869,Menu!$A$2:$F$105,4,0),VLOOKUP(D869,Menu!$A$2:$F$105,5,0),VLOOKUP(D869,Menu!$A$2:$F$105,6,0)),"N/A"))</f>
        <v>70</v>
      </c>
      <c r="H869" s="19">
        <f t="shared" si="2"/>
        <v>210</v>
      </c>
      <c r="I869" s="19">
        <f t="shared" si="4"/>
        <v>1857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8">
        <v>45299.0</v>
      </c>
      <c r="B870" s="19" t="str">
        <f t="shared" si="1"/>
        <v>Monday</v>
      </c>
      <c r="C870" s="19" t="str">
        <f>IF(D870="","",VLOOKUP(D870,Menu!$A$2:$B$105,2,0))</f>
        <v>Combo</v>
      </c>
      <c r="D870" s="19" t="s">
        <v>59</v>
      </c>
      <c r="E870" s="19" t="s">
        <v>5</v>
      </c>
      <c r="F870" s="19">
        <v>1.0</v>
      </c>
      <c r="G870" s="19">
        <f t="array" ref="G870">IF(OR(D870="",E870=""),"",IFERROR(CHOOSE(MATCH(E870,{"S","M","L","-"},0),VLOOKUP(D870,Menu!$A$2:$F$105,3,0),VLOOKUP(D870,Menu!$A$2:$F$105,4,0),VLOOKUP(D870,Menu!$A$2:$F$105,5,0),VLOOKUP(D870,Menu!$A$2:$F$105,6,0)),"N/A"))</f>
        <v>199</v>
      </c>
      <c r="H870" s="19">
        <f t="shared" si="2"/>
        <v>199</v>
      </c>
      <c r="I870" s="19">
        <f t="shared" si="4"/>
        <v>1857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8">
        <v>45299.0</v>
      </c>
      <c r="B871" s="19" t="str">
        <f t="shared" si="1"/>
        <v>Monday</v>
      </c>
      <c r="C871" s="19" t="str">
        <f>IF(D871="","",VLOOKUP(D871,Menu!$A$2:$B$105,2,0))</f>
        <v>Pizza</v>
      </c>
      <c r="D871" s="19" t="s">
        <v>15</v>
      </c>
      <c r="E871" s="19" t="s">
        <v>4</v>
      </c>
      <c r="F871" s="19">
        <v>1.0</v>
      </c>
      <c r="G871" s="19">
        <f t="array" ref="G871">IF(OR(D871="",E871=""),"",IFERROR(CHOOSE(MATCH(E871,{"S","M","L","-"},0),VLOOKUP(D871,Menu!$A$2:$F$105,3,0),VLOOKUP(D871,Menu!$A$2:$F$105,4,0),VLOOKUP(D871,Menu!$A$2:$F$105,5,0),VLOOKUP(D871,Menu!$A$2:$F$105,6,0)),"N/A"))</f>
        <v>249</v>
      </c>
      <c r="H871" s="19">
        <f t="shared" si="2"/>
        <v>249</v>
      </c>
      <c r="I871" s="19">
        <f t="shared" si="4"/>
        <v>1857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8">
        <v>45299.0</v>
      </c>
      <c r="B872" s="19" t="str">
        <f t="shared" si="1"/>
        <v>Monday</v>
      </c>
      <c r="C872" s="19" t="str">
        <f>IF(D872="","",VLOOKUP(D872,Menu!$A$2:$B$105,2,0))</f>
        <v>Pizza</v>
      </c>
      <c r="D872" s="19" t="s">
        <v>15</v>
      </c>
      <c r="E872" s="19" t="s">
        <v>3</v>
      </c>
      <c r="F872" s="19">
        <v>1.0</v>
      </c>
      <c r="G872" s="19">
        <f t="array" ref="G872">IF(OR(D872="",E872=""),"",IFERROR(CHOOSE(MATCH(E872,{"S","M","L","-"},0),VLOOKUP(D872,Menu!$A$2:$F$105,3,0),VLOOKUP(D872,Menu!$A$2:$F$105,4,0),VLOOKUP(D872,Menu!$A$2:$F$105,5,0),VLOOKUP(D872,Menu!$A$2:$F$105,6,0)),"N/A"))</f>
        <v>149</v>
      </c>
      <c r="H872" s="19">
        <f t="shared" si="2"/>
        <v>149</v>
      </c>
      <c r="I872" s="19">
        <f t="shared" si="4"/>
        <v>1857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8">
        <v>45299.0</v>
      </c>
      <c r="B873" s="19" t="str">
        <f t="shared" si="1"/>
        <v>Monday</v>
      </c>
      <c r="C873" s="19" t="str">
        <f>IF(D873="","",VLOOKUP(D873,Menu!$A$2:$B$105,2,0))</f>
        <v>Pizza</v>
      </c>
      <c r="D873" s="19" t="s">
        <v>15</v>
      </c>
      <c r="E873" s="19" t="s">
        <v>2</v>
      </c>
      <c r="F873" s="19">
        <v>1.0</v>
      </c>
      <c r="G873" s="19">
        <f t="array" ref="G873">IF(OR(D873="",E873=""),"",IFERROR(CHOOSE(MATCH(E873,{"S","M","L","-"},0),VLOOKUP(D873,Menu!$A$2:$F$105,3,0),VLOOKUP(D873,Menu!$A$2:$F$105,4,0),VLOOKUP(D873,Menu!$A$2:$F$105,5,0),VLOOKUP(D873,Menu!$A$2:$F$105,6,0)),"N/A"))</f>
        <v>99</v>
      </c>
      <c r="H873" s="19">
        <f t="shared" si="2"/>
        <v>99</v>
      </c>
      <c r="I873" s="19">
        <f t="shared" si="4"/>
        <v>1857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8">
        <v>45299.0</v>
      </c>
      <c r="B874" s="19" t="str">
        <f t="shared" si="1"/>
        <v>Monday</v>
      </c>
      <c r="C874" s="19" t="str">
        <f>IF(D874="","",VLOOKUP(D874,Menu!$A$2:$B$105,2,0))</f>
        <v>Pizza</v>
      </c>
      <c r="D874" s="19" t="s">
        <v>16</v>
      </c>
      <c r="E874" s="19" t="s">
        <v>2</v>
      </c>
      <c r="F874" s="19">
        <v>1.0</v>
      </c>
      <c r="G874" s="19">
        <f t="array" ref="G874">IF(OR(D874="",E874=""),"",IFERROR(CHOOSE(MATCH(E874,{"S","M","L","-"},0),VLOOKUP(D874,Menu!$A$2:$F$105,3,0),VLOOKUP(D874,Menu!$A$2:$F$105,4,0),VLOOKUP(D874,Menu!$A$2:$F$105,5,0),VLOOKUP(D874,Menu!$A$2:$F$105,6,0)),"N/A"))</f>
        <v>109</v>
      </c>
      <c r="H874" s="19">
        <f t="shared" si="2"/>
        <v>109</v>
      </c>
      <c r="I874" s="19">
        <f t="shared" si="4"/>
        <v>1857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8">
        <v>45299.0</v>
      </c>
      <c r="B875" s="19" t="str">
        <f t="shared" si="1"/>
        <v>Monday</v>
      </c>
      <c r="C875" s="19" t="str">
        <f>IF(D875="","",VLOOKUP(D875,Menu!$A$2:$B$105,2,0))</f>
        <v>Pizza</v>
      </c>
      <c r="D875" s="19" t="s">
        <v>10</v>
      </c>
      <c r="E875" s="19" t="s">
        <v>4</v>
      </c>
      <c r="F875" s="19">
        <v>1.0</v>
      </c>
      <c r="G875" s="19">
        <f t="array" ref="G875">IF(OR(D875="",E875=""),"",IFERROR(CHOOSE(MATCH(E875,{"S","M","L","-"},0),VLOOKUP(D875,Menu!$A$2:$F$105,3,0),VLOOKUP(D875,Menu!$A$2:$F$105,4,0),VLOOKUP(D875,Menu!$A$2:$F$105,5,0),VLOOKUP(D875,Menu!$A$2:$F$105,6,0)),"N/A"))</f>
        <v>199</v>
      </c>
      <c r="H875" s="19">
        <f t="shared" si="2"/>
        <v>199</v>
      </c>
      <c r="I875" s="19">
        <f t="shared" si="4"/>
        <v>1857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8">
        <v>45299.0</v>
      </c>
      <c r="B876" s="19" t="str">
        <f t="shared" si="1"/>
        <v>Monday</v>
      </c>
      <c r="C876" s="19" t="str">
        <f>IF(D876="","",VLOOKUP(D876,Menu!$A$2:$B$105,2,0))</f>
        <v>Pizza</v>
      </c>
      <c r="D876" s="19" t="s">
        <v>8</v>
      </c>
      <c r="E876" s="19" t="s">
        <v>3</v>
      </c>
      <c r="F876" s="19">
        <v>1.0</v>
      </c>
      <c r="G876" s="19">
        <f t="array" ref="G876">IF(OR(D876="",E876=""),"",IFERROR(CHOOSE(MATCH(E876,{"S","M","L","-"},0),VLOOKUP(D876,Menu!$A$2:$F$105,3,0),VLOOKUP(D876,Menu!$A$2:$F$105,4,0),VLOOKUP(D876,Menu!$A$2:$F$105,5,0),VLOOKUP(D876,Menu!$A$2:$F$105,6,0)),"N/A"))</f>
        <v>109</v>
      </c>
      <c r="H876" s="19">
        <f t="shared" si="2"/>
        <v>109</v>
      </c>
      <c r="I876" s="19">
        <f t="shared" si="4"/>
        <v>1857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6">
        <v>45300.0</v>
      </c>
      <c r="B877" s="17" t="str">
        <f t="shared" si="1"/>
        <v>Tuesday</v>
      </c>
      <c r="C877" s="17" t="str">
        <f>IF(D877="","",VLOOKUP(D877,Menu!$A$2:$B$105,2,0))</f>
        <v>Pizza</v>
      </c>
      <c r="D877" s="17" t="s">
        <v>19</v>
      </c>
      <c r="E877" s="17" t="s">
        <v>3</v>
      </c>
      <c r="F877" s="17">
        <v>1.0</v>
      </c>
      <c r="G877" s="17">
        <f t="array" ref="G877">IF(OR(D877="",E877=""),"",IFERROR(CHOOSE(MATCH(E877,{"S","M","L","-"},0),VLOOKUP(D877,Menu!$A$2:$F$105,3,0),VLOOKUP(D877,Menu!$A$2:$F$105,4,0),VLOOKUP(D877,Menu!$A$2:$F$105,5,0),VLOOKUP(D877,Menu!$A$2:$F$105,6,0)),"N/A"))</f>
        <v>189</v>
      </c>
      <c r="H877" s="17">
        <f t="shared" si="2"/>
        <v>189</v>
      </c>
      <c r="I877" s="17">
        <f t="shared" si="4"/>
        <v>189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8">
        <v>45301.0</v>
      </c>
      <c r="B878" s="19" t="str">
        <f t="shared" si="1"/>
        <v>Wednesday</v>
      </c>
      <c r="C878" s="19" t="str">
        <f>IF(D878="","",VLOOKUP(D878,Menu!$A$2:$B$105,2,0))</f>
        <v>Pizza</v>
      </c>
      <c r="D878" s="19" t="s">
        <v>26</v>
      </c>
      <c r="E878" s="19" t="s">
        <v>5</v>
      </c>
      <c r="F878" s="19">
        <v>1.0</v>
      </c>
      <c r="G878" s="19">
        <f t="array" ref="G878">IF(OR(D878="",E878=""),"",IFERROR(CHOOSE(MATCH(E878,{"S","M","L","-"},0),VLOOKUP(D878,Menu!$A$2:$F$105,3,0),VLOOKUP(D878,Menu!$A$2:$F$105,4,0),VLOOKUP(D878,Menu!$A$2:$F$105,5,0),VLOOKUP(D878,Menu!$A$2:$F$105,6,0)),"N/A"))</f>
        <v>99</v>
      </c>
      <c r="H878" s="19">
        <f t="shared" si="2"/>
        <v>99</v>
      </c>
      <c r="I878" s="19">
        <f t="shared" si="4"/>
        <v>426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8">
        <v>45301.0</v>
      </c>
      <c r="B879" s="19" t="str">
        <f t="shared" si="1"/>
        <v>Wednesday</v>
      </c>
      <c r="C879" s="19" t="str">
        <f>IF(D879="","",VLOOKUP(D879,Menu!$A$2:$B$105,2,0))</f>
        <v>Pizza</v>
      </c>
      <c r="D879" s="19" t="s">
        <v>18</v>
      </c>
      <c r="E879" s="19" t="s">
        <v>2</v>
      </c>
      <c r="F879" s="19">
        <v>1.0</v>
      </c>
      <c r="G879" s="19">
        <f t="array" ref="G879">IF(OR(D879="",E879=""),"",IFERROR(CHOOSE(MATCH(E879,{"S","M","L","-"},0),VLOOKUP(D879,Menu!$A$2:$F$105,3,0),VLOOKUP(D879,Menu!$A$2:$F$105,4,0),VLOOKUP(D879,Menu!$A$2:$F$105,5,0),VLOOKUP(D879,Menu!$A$2:$F$105,6,0)),"N/A"))</f>
        <v>109</v>
      </c>
      <c r="H879" s="19">
        <f t="shared" si="2"/>
        <v>109</v>
      </c>
      <c r="I879" s="19">
        <f t="shared" si="4"/>
        <v>426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8">
        <v>45301.0</v>
      </c>
      <c r="B880" s="19" t="str">
        <f t="shared" si="1"/>
        <v>Wednesday</v>
      </c>
      <c r="C880" s="19" t="str">
        <f>IF(D880="","",VLOOKUP(D880,Menu!$A$2:$B$105,2,0))</f>
        <v>Pizza</v>
      </c>
      <c r="D880" s="19" t="s">
        <v>11</v>
      </c>
      <c r="E880" s="19" t="s">
        <v>3</v>
      </c>
      <c r="F880" s="19">
        <v>1.0</v>
      </c>
      <c r="G880" s="19">
        <f t="array" ref="G880">IF(OR(D880="",E880=""),"",IFERROR(CHOOSE(MATCH(E880,{"S","M","L","-"},0),VLOOKUP(D880,Menu!$A$2:$F$105,3,0),VLOOKUP(D880,Menu!$A$2:$F$105,4,0),VLOOKUP(D880,Menu!$A$2:$F$105,5,0),VLOOKUP(D880,Menu!$A$2:$F$105,6,0)),"N/A"))</f>
        <v>109</v>
      </c>
      <c r="H880" s="19">
        <f t="shared" si="2"/>
        <v>109</v>
      </c>
      <c r="I880" s="19">
        <f t="shared" si="4"/>
        <v>426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8">
        <v>45301.0</v>
      </c>
      <c r="B881" s="19" t="str">
        <f t="shared" si="1"/>
        <v>Wednesday</v>
      </c>
      <c r="C881" s="19" t="str">
        <f>IF(D881="","",VLOOKUP(D881,Menu!$A$2:$B$105,2,0))</f>
        <v>Pizza</v>
      </c>
      <c r="D881" s="19" t="s">
        <v>19</v>
      </c>
      <c r="E881" s="19" t="s">
        <v>2</v>
      </c>
      <c r="F881" s="19">
        <v>1.0</v>
      </c>
      <c r="G881" s="19">
        <f t="array" ref="G881">IF(OR(D881="",E881=""),"",IFERROR(CHOOSE(MATCH(E881,{"S","M","L","-"},0),VLOOKUP(D881,Menu!$A$2:$F$105,3,0),VLOOKUP(D881,Menu!$A$2:$F$105,4,0),VLOOKUP(D881,Menu!$A$2:$F$105,5,0),VLOOKUP(D881,Menu!$A$2:$F$105,6,0)),"N/A"))</f>
        <v>109</v>
      </c>
      <c r="H881" s="19">
        <f t="shared" si="2"/>
        <v>109</v>
      </c>
      <c r="I881" s="19">
        <f t="shared" si="4"/>
        <v>426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6">
        <v>45302.0</v>
      </c>
      <c r="B882" s="17" t="str">
        <f t="shared" si="1"/>
        <v>Thursday</v>
      </c>
      <c r="C882" s="17" t="str">
        <f>IF(D882="","",VLOOKUP(D882,Menu!$A$2:$B$105,2,0))</f>
        <v>Pizza</v>
      </c>
      <c r="D882" s="17" t="s">
        <v>8</v>
      </c>
      <c r="E882" s="17" t="s">
        <v>2</v>
      </c>
      <c r="F882" s="17">
        <v>2.0</v>
      </c>
      <c r="G882" s="17">
        <f t="array" ref="G882">IF(OR(D882="",E882=""),"",IFERROR(CHOOSE(MATCH(E882,{"S","M","L","-"},0),VLOOKUP(D882,Menu!$A$2:$F$105,3,0),VLOOKUP(D882,Menu!$A$2:$F$105,4,0),VLOOKUP(D882,Menu!$A$2:$F$105,5,0),VLOOKUP(D882,Menu!$A$2:$F$105,6,0)),"N/A"))</f>
        <v>59</v>
      </c>
      <c r="H882" s="17">
        <f t="shared" si="2"/>
        <v>118</v>
      </c>
      <c r="I882" s="17">
        <f t="shared" si="4"/>
        <v>1020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6">
        <v>45302.0</v>
      </c>
      <c r="B883" s="17" t="str">
        <f t="shared" si="1"/>
        <v>Thursday</v>
      </c>
      <c r="C883" s="17" t="str">
        <f>IF(D883="","",VLOOKUP(D883,Menu!$A$2:$B$105,2,0))</f>
        <v>Burger</v>
      </c>
      <c r="D883" s="17" t="s">
        <v>27</v>
      </c>
      <c r="E883" s="17" t="s">
        <v>5</v>
      </c>
      <c r="F883" s="17">
        <v>2.0</v>
      </c>
      <c r="G883" s="17">
        <f t="array" ref="G883">IF(OR(D883="",E883=""),"",IFERROR(CHOOSE(MATCH(E883,{"S","M","L","-"},0),VLOOKUP(D883,Menu!$A$2:$F$105,3,0),VLOOKUP(D883,Menu!$A$2:$F$105,4,0),VLOOKUP(D883,Menu!$A$2:$F$105,5,0),VLOOKUP(D883,Menu!$A$2:$F$105,6,0)),"N/A"))</f>
        <v>39</v>
      </c>
      <c r="H883" s="17">
        <f t="shared" si="2"/>
        <v>78</v>
      </c>
      <c r="I883" s="17">
        <f t="shared" si="4"/>
        <v>1020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6">
        <v>45302.0</v>
      </c>
      <c r="B884" s="17" t="str">
        <f t="shared" si="1"/>
        <v>Thursday</v>
      </c>
      <c r="C884" s="17" t="str">
        <f>IF(D884="","",VLOOKUP(D884,Menu!$A$2:$B$105,2,0))</f>
        <v>Pizza</v>
      </c>
      <c r="D884" s="17" t="s">
        <v>15</v>
      </c>
      <c r="E884" s="17" t="s">
        <v>3</v>
      </c>
      <c r="F884" s="17">
        <v>1.0</v>
      </c>
      <c r="G884" s="17">
        <f t="array" ref="G884">IF(OR(D884="",E884=""),"",IFERROR(CHOOSE(MATCH(E884,{"S","M","L","-"},0),VLOOKUP(D884,Menu!$A$2:$F$105,3,0),VLOOKUP(D884,Menu!$A$2:$F$105,4,0),VLOOKUP(D884,Menu!$A$2:$F$105,5,0),VLOOKUP(D884,Menu!$A$2:$F$105,6,0)),"N/A"))</f>
        <v>149</v>
      </c>
      <c r="H884" s="17">
        <f t="shared" si="2"/>
        <v>149</v>
      </c>
      <c r="I884" s="17">
        <f t="shared" si="4"/>
        <v>1020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6">
        <v>45302.0</v>
      </c>
      <c r="B885" s="17" t="str">
        <f t="shared" si="1"/>
        <v>Thursday</v>
      </c>
      <c r="C885" s="17" t="str">
        <f>IF(D885="","",VLOOKUP(D885,Menu!$A$2:$B$105,2,0))</f>
        <v>Pizza</v>
      </c>
      <c r="D885" s="17" t="s">
        <v>6</v>
      </c>
      <c r="E885" s="17" t="s">
        <v>2</v>
      </c>
      <c r="F885" s="17">
        <v>1.0</v>
      </c>
      <c r="G885" s="17">
        <f t="array" ref="G885">IF(OR(D885="",E885=""),"",IFERROR(CHOOSE(MATCH(E885,{"S","M","L","-"},0),VLOOKUP(D885,Menu!$A$2:$F$105,3,0),VLOOKUP(D885,Menu!$A$2:$F$105,4,0),VLOOKUP(D885,Menu!$A$2:$F$105,5,0),VLOOKUP(D885,Menu!$A$2:$F$105,6,0)),"N/A"))</f>
        <v>49</v>
      </c>
      <c r="H885" s="17">
        <f t="shared" si="2"/>
        <v>49</v>
      </c>
      <c r="I885" s="17">
        <f t="shared" si="4"/>
        <v>1020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6">
        <v>45302.0</v>
      </c>
      <c r="B886" s="17" t="str">
        <f t="shared" si="1"/>
        <v>Thursday</v>
      </c>
      <c r="C886" s="17" t="str">
        <f>IF(D886="","",VLOOKUP(D886,Menu!$A$2:$B$105,2,0))</f>
        <v>Pizza</v>
      </c>
      <c r="D886" s="17" t="s">
        <v>11</v>
      </c>
      <c r="E886" s="17" t="s">
        <v>4</v>
      </c>
      <c r="F886" s="17">
        <v>1.0</v>
      </c>
      <c r="G886" s="17">
        <f t="array" ref="G886">IF(OR(D886="",E886=""),"",IFERROR(CHOOSE(MATCH(E886,{"S","M","L","-"},0),VLOOKUP(D886,Menu!$A$2:$F$105,3,0),VLOOKUP(D886,Menu!$A$2:$F$105,4,0),VLOOKUP(D886,Menu!$A$2:$F$105,5,0),VLOOKUP(D886,Menu!$A$2:$F$105,6,0)),"N/A"))</f>
        <v>209</v>
      </c>
      <c r="H886" s="17">
        <f t="shared" si="2"/>
        <v>209</v>
      </c>
      <c r="I886" s="17">
        <f t="shared" si="4"/>
        <v>1020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6">
        <v>45302.0</v>
      </c>
      <c r="B887" s="17" t="str">
        <f t="shared" si="1"/>
        <v>Thursday</v>
      </c>
      <c r="C887" s="17" t="str">
        <f>IF(D887="","",VLOOKUP(D887,Menu!$A$2:$B$105,2,0))</f>
        <v>Combo</v>
      </c>
      <c r="D887" s="17" t="s">
        <v>57</v>
      </c>
      <c r="E887" s="17" t="s">
        <v>5</v>
      </c>
      <c r="F887" s="17">
        <v>1.0</v>
      </c>
      <c r="G887" s="17">
        <f t="array" ref="G887">IF(OR(D887="",E887=""),"",IFERROR(CHOOSE(MATCH(E887,{"S","M","L","-"},0),VLOOKUP(D887,Menu!$A$2:$F$105,3,0),VLOOKUP(D887,Menu!$A$2:$F$105,4,0),VLOOKUP(D887,Menu!$A$2:$F$105,5,0),VLOOKUP(D887,Menu!$A$2:$F$105,6,0)),"N/A"))</f>
        <v>149</v>
      </c>
      <c r="H887" s="17">
        <f t="shared" si="2"/>
        <v>149</v>
      </c>
      <c r="I887" s="17">
        <f t="shared" si="4"/>
        <v>1020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6">
        <v>45302.0</v>
      </c>
      <c r="B888" s="17" t="str">
        <f t="shared" si="1"/>
        <v>Thursday</v>
      </c>
      <c r="C888" s="17" t="str">
        <f>IF(D888="","",VLOOKUP(D888,Menu!$A$2:$B$105,2,0))</f>
        <v>Pizza</v>
      </c>
      <c r="D888" s="17" t="s">
        <v>16</v>
      </c>
      <c r="E888" s="17" t="s">
        <v>3</v>
      </c>
      <c r="F888" s="17">
        <v>1.0</v>
      </c>
      <c r="G888" s="17">
        <f t="array" ref="G888">IF(OR(D888="",E888=""),"",IFERROR(CHOOSE(MATCH(E888,{"S","M","L","-"},0),VLOOKUP(D888,Menu!$A$2:$F$105,3,0),VLOOKUP(D888,Menu!$A$2:$F$105,4,0),VLOOKUP(D888,Menu!$A$2:$F$105,5,0),VLOOKUP(D888,Menu!$A$2:$F$105,6,0)),"N/A"))</f>
        <v>199</v>
      </c>
      <c r="H888" s="17">
        <f t="shared" si="2"/>
        <v>199</v>
      </c>
      <c r="I888" s="17">
        <f t="shared" si="4"/>
        <v>1020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6">
        <v>45302.0</v>
      </c>
      <c r="B889" s="17" t="str">
        <f t="shared" si="1"/>
        <v>Thursday</v>
      </c>
      <c r="C889" s="17" t="str">
        <f>IF(D889="","",VLOOKUP(D889,Menu!$A$2:$B$105,2,0))</f>
        <v>Pizza</v>
      </c>
      <c r="D889" s="17" t="s">
        <v>11</v>
      </c>
      <c r="E889" s="17" t="s">
        <v>2</v>
      </c>
      <c r="F889" s="17">
        <v>1.0</v>
      </c>
      <c r="G889" s="17">
        <f t="array" ref="G889">IF(OR(D889="",E889=""),"",IFERROR(CHOOSE(MATCH(E889,{"S","M","L","-"},0),VLOOKUP(D889,Menu!$A$2:$F$105,3,0),VLOOKUP(D889,Menu!$A$2:$F$105,4,0),VLOOKUP(D889,Menu!$A$2:$F$105,5,0),VLOOKUP(D889,Menu!$A$2:$F$105,6,0)),"N/A"))</f>
        <v>69</v>
      </c>
      <c r="H889" s="17">
        <f t="shared" si="2"/>
        <v>69</v>
      </c>
      <c r="I889" s="17">
        <f t="shared" si="4"/>
        <v>1020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8">
        <v>45303.0</v>
      </c>
      <c r="B890" s="19" t="str">
        <f t="shared" si="1"/>
        <v>Friday</v>
      </c>
      <c r="C890" s="19" t="str">
        <f>IF(D890="","",VLOOKUP(D890,Menu!$A$2:$B$105,2,0))</f>
        <v>Pizza</v>
      </c>
      <c r="D890" s="19" t="s">
        <v>11</v>
      </c>
      <c r="E890" s="19" t="s">
        <v>2</v>
      </c>
      <c r="F890" s="19">
        <v>2.0</v>
      </c>
      <c r="G890" s="19">
        <f t="array" ref="G890">IF(OR(D890="",E890=""),"",IFERROR(CHOOSE(MATCH(E890,{"S","M","L","-"},0),VLOOKUP(D890,Menu!$A$2:$F$105,3,0),VLOOKUP(D890,Menu!$A$2:$F$105,4,0),VLOOKUP(D890,Menu!$A$2:$F$105,5,0),VLOOKUP(D890,Menu!$A$2:$F$105,6,0)),"N/A"))</f>
        <v>69</v>
      </c>
      <c r="H890" s="19">
        <f t="shared" si="2"/>
        <v>138</v>
      </c>
      <c r="I890" s="19">
        <f t="shared" si="4"/>
        <v>1550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8">
        <v>45303.0</v>
      </c>
      <c r="B891" s="19" t="str">
        <f t="shared" si="1"/>
        <v>Friday</v>
      </c>
      <c r="C891" s="19" t="str">
        <f>IF(D891="","",VLOOKUP(D891,Menu!$A$2:$B$105,2,0))</f>
        <v>Pizza</v>
      </c>
      <c r="D891" s="19" t="s">
        <v>18</v>
      </c>
      <c r="E891" s="19" t="s">
        <v>3</v>
      </c>
      <c r="F891" s="19">
        <v>2.0</v>
      </c>
      <c r="G891" s="19">
        <f t="array" ref="G891">IF(OR(D891="",E891=""),"",IFERROR(CHOOSE(MATCH(E891,{"S","M","L","-"},0),VLOOKUP(D891,Menu!$A$2:$F$105,3,0),VLOOKUP(D891,Menu!$A$2:$F$105,4,0),VLOOKUP(D891,Menu!$A$2:$F$105,5,0),VLOOKUP(D891,Menu!$A$2:$F$105,6,0)),"N/A"))</f>
        <v>199</v>
      </c>
      <c r="H891" s="19">
        <f t="shared" si="2"/>
        <v>398</v>
      </c>
      <c r="I891" s="19">
        <f t="shared" si="4"/>
        <v>1550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8">
        <v>45303.0</v>
      </c>
      <c r="B892" s="19" t="str">
        <f t="shared" si="1"/>
        <v>Friday</v>
      </c>
      <c r="C892" s="19" t="str">
        <f>IF(D892="","",VLOOKUP(D892,Menu!$A$2:$B$105,2,0))</f>
        <v>Pizza</v>
      </c>
      <c r="D892" s="19" t="s">
        <v>8</v>
      </c>
      <c r="E892" s="19" t="s">
        <v>2</v>
      </c>
      <c r="F892" s="19">
        <v>1.0</v>
      </c>
      <c r="G892" s="19">
        <f t="array" ref="G892">IF(OR(D892="",E892=""),"",IFERROR(CHOOSE(MATCH(E892,{"S","M","L","-"},0),VLOOKUP(D892,Menu!$A$2:$F$105,3,0),VLOOKUP(D892,Menu!$A$2:$F$105,4,0),VLOOKUP(D892,Menu!$A$2:$F$105,5,0),VLOOKUP(D892,Menu!$A$2:$F$105,6,0)),"N/A"))</f>
        <v>59</v>
      </c>
      <c r="H892" s="19">
        <f t="shared" si="2"/>
        <v>59</v>
      </c>
      <c r="I892" s="19">
        <f t="shared" si="4"/>
        <v>1550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8">
        <v>45303.0</v>
      </c>
      <c r="B893" s="19" t="str">
        <f t="shared" si="1"/>
        <v>Friday</v>
      </c>
      <c r="C893" s="19" t="str">
        <f>IF(D893="","",VLOOKUP(D893,Menu!$A$2:$B$105,2,0))</f>
        <v>Pizza</v>
      </c>
      <c r="D893" s="19" t="s">
        <v>18</v>
      </c>
      <c r="E893" s="19" t="s">
        <v>4</v>
      </c>
      <c r="F893" s="19">
        <v>1.0</v>
      </c>
      <c r="G893" s="19">
        <f t="array" ref="G893">IF(OR(D893="",E893=""),"",IFERROR(CHOOSE(MATCH(E893,{"S","M","L","-"},0),VLOOKUP(D893,Menu!$A$2:$F$105,3,0),VLOOKUP(D893,Menu!$A$2:$F$105,4,0),VLOOKUP(D893,Menu!$A$2:$F$105,5,0),VLOOKUP(D893,Menu!$A$2:$F$105,6,0)),"N/A"))</f>
        <v>299</v>
      </c>
      <c r="H893" s="19">
        <f t="shared" si="2"/>
        <v>299</v>
      </c>
      <c r="I893" s="19">
        <f t="shared" si="4"/>
        <v>1550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8">
        <v>45303.0</v>
      </c>
      <c r="B894" s="19" t="str">
        <f t="shared" si="1"/>
        <v>Friday</v>
      </c>
      <c r="C894" s="19" t="str">
        <f>IF(D894="","",VLOOKUP(D894,Menu!$A$2:$B$105,2,0))</f>
        <v>Pizza</v>
      </c>
      <c r="D894" s="19" t="s">
        <v>19</v>
      </c>
      <c r="E894" s="19" t="s">
        <v>4</v>
      </c>
      <c r="F894" s="19">
        <v>1.0</v>
      </c>
      <c r="G894" s="19">
        <f t="array" ref="G894">IF(OR(D894="",E894=""),"",IFERROR(CHOOSE(MATCH(E894,{"S","M","L","-"},0),VLOOKUP(D894,Menu!$A$2:$F$105,3,0),VLOOKUP(D894,Menu!$A$2:$F$105,4,0),VLOOKUP(D894,Menu!$A$2:$F$105,5,0),VLOOKUP(D894,Menu!$A$2:$F$105,6,0)),"N/A"))</f>
        <v>289</v>
      </c>
      <c r="H894" s="19">
        <f t="shared" si="2"/>
        <v>289</v>
      </c>
      <c r="I894" s="19">
        <f t="shared" si="4"/>
        <v>1550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8">
        <v>45303.0</v>
      </c>
      <c r="B895" s="19" t="str">
        <f t="shared" si="1"/>
        <v>Friday</v>
      </c>
      <c r="C895" s="19" t="str">
        <f>IF(D895="","",VLOOKUP(D895,Menu!$A$2:$B$105,2,0))</f>
        <v>Pizza</v>
      </c>
      <c r="D895" s="19" t="s">
        <v>15</v>
      </c>
      <c r="E895" s="19" t="s">
        <v>3</v>
      </c>
      <c r="F895" s="19">
        <v>1.0</v>
      </c>
      <c r="G895" s="19">
        <f t="array" ref="G895">IF(OR(D895="",E895=""),"",IFERROR(CHOOSE(MATCH(E895,{"S","M","L","-"},0),VLOOKUP(D895,Menu!$A$2:$F$105,3,0),VLOOKUP(D895,Menu!$A$2:$F$105,4,0),VLOOKUP(D895,Menu!$A$2:$F$105,5,0),VLOOKUP(D895,Menu!$A$2:$F$105,6,0)),"N/A"))</f>
        <v>149</v>
      </c>
      <c r="H895" s="19">
        <f t="shared" si="2"/>
        <v>149</v>
      </c>
      <c r="I895" s="19">
        <f t="shared" si="4"/>
        <v>1550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8">
        <v>45303.0</v>
      </c>
      <c r="B896" s="19" t="str">
        <f t="shared" si="1"/>
        <v>Friday</v>
      </c>
      <c r="C896" s="19" t="str">
        <f>IF(D896="","",VLOOKUP(D896,Menu!$A$2:$B$105,2,0))</f>
        <v>Pizza</v>
      </c>
      <c r="D896" s="19" t="s">
        <v>8</v>
      </c>
      <c r="E896" s="19" t="s">
        <v>3</v>
      </c>
      <c r="F896" s="19">
        <v>1.0</v>
      </c>
      <c r="G896" s="19">
        <f t="array" ref="G896">IF(OR(D896="",E896=""),"",IFERROR(CHOOSE(MATCH(E896,{"S","M","L","-"},0),VLOOKUP(D896,Menu!$A$2:$F$105,3,0),VLOOKUP(D896,Menu!$A$2:$F$105,4,0),VLOOKUP(D896,Menu!$A$2:$F$105,5,0),VLOOKUP(D896,Menu!$A$2:$F$105,6,0)),"N/A"))</f>
        <v>109</v>
      </c>
      <c r="H896" s="19">
        <f t="shared" si="2"/>
        <v>109</v>
      </c>
      <c r="I896" s="19">
        <f t="shared" si="4"/>
        <v>1550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8">
        <v>45303.0</v>
      </c>
      <c r="B897" s="19" t="str">
        <f t="shared" si="1"/>
        <v>Friday</v>
      </c>
      <c r="C897" s="19" t="str">
        <f>IF(D897="","",VLOOKUP(D897,Menu!$A$2:$B$105,2,0))</f>
        <v>Pizza</v>
      </c>
      <c r="D897" s="19" t="s">
        <v>10</v>
      </c>
      <c r="E897" s="19" t="s">
        <v>3</v>
      </c>
      <c r="F897" s="19">
        <v>1.0</v>
      </c>
      <c r="G897" s="19">
        <f t="array" ref="G897">IF(OR(D897="",E897=""),"",IFERROR(CHOOSE(MATCH(E897,{"S","M","L","-"},0),VLOOKUP(D897,Menu!$A$2:$F$105,3,0),VLOOKUP(D897,Menu!$A$2:$F$105,4,0),VLOOKUP(D897,Menu!$A$2:$F$105,5,0),VLOOKUP(D897,Menu!$A$2:$F$105,6,0)),"N/A"))</f>
        <v>109</v>
      </c>
      <c r="H897" s="19">
        <f t="shared" si="2"/>
        <v>109</v>
      </c>
      <c r="I897" s="19">
        <f t="shared" si="4"/>
        <v>1550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6">
        <v>45304.0</v>
      </c>
      <c r="B898" s="17" t="str">
        <f t="shared" si="1"/>
        <v>Saturday</v>
      </c>
      <c r="C898" s="17" t="str">
        <f>IF(D898="","",VLOOKUP(D898,Menu!$A$2:$B$105,2,0))</f>
        <v>Pizza</v>
      </c>
      <c r="D898" s="17" t="s">
        <v>8</v>
      </c>
      <c r="E898" s="17" t="s">
        <v>3</v>
      </c>
      <c r="F898" s="17">
        <v>1.0</v>
      </c>
      <c r="G898" s="17">
        <f t="array" ref="G898">IF(OR(D898="",E898=""),"",IFERROR(CHOOSE(MATCH(E898,{"S","M","L","-"},0),VLOOKUP(D898,Menu!$A$2:$F$105,3,0),VLOOKUP(D898,Menu!$A$2:$F$105,4,0),VLOOKUP(D898,Menu!$A$2:$F$105,5,0),VLOOKUP(D898,Menu!$A$2:$F$105,6,0)),"N/A"))</f>
        <v>109</v>
      </c>
      <c r="H898" s="17">
        <f t="shared" si="2"/>
        <v>109</v>
      </c>
      <c r="I898" s="17">
        <f t="shared" si="4"/>
        <v>2781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6">
        <v>45304.0</v>
      </c>
      <c r="B899" s="17" t="str">
        <f t="shared" si="1"/>
        <v>Saturday</v>
      </c>
      <c r="C899" s="17" t="str">
        <f>IF(D899="","",VLOOKUP(D899,Menu!$A$2:$B$105,2,0))</f>
        <v>Pizza</v>
      </c>
      <c r="D899" s="17" t="s">
        <v>25</v>
      </c>
      <c r="E899" s="17" t="s">
        <v>3</v>
      </c>
      <c r="F899" s="17">
        <v>1.0</v>
      </c>
      <c r="G899" s="17">
        <f t="array" ref="G899">IF(OR(D899="",E899=""),"",IFERROR(CHOOSE(MATCH(E899,{"S","M","L","-"},0),VLOOKUP(D899,Menu!$A$2:$F$105,3,0),VLOOKUP(D899,Menu!$A$2:$F$105,4,0),VLOOKUP(D899,Menu!$A$2:$F$105,5,0),VLOOKUP(D899,Menu!$A$2:$F$105,6,0)),"N/A"))</f>
        <v>279</v>
      </c>
      <c r="H899" s="17">
        <f t="shared" si="2"/>
        <v>279</v>
      </c>
      <c r="I899" s="17">
        <f t="shared" si="4"/>
        <v>2781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6">
        <v>45304.0</v>
      </c>
      <c r="B900" s="17" t="str">
        <f t="shared" si="1"/>
        <v>Saturday</v>
      </c>
      <c r="C900" s="17" t="str">
        <f>IF(D900="","",VLOOKUP(D900,Menu!$A$2:$B$105,2,0))</f>
        <v>Pizza</v>
      </c>
      <c r="D900" s="17" t="s">
        <v>19</v>
      </c>
      <c r="E900" s="17" t="s">
        <v>2</v>
      </c>
      <c r="F900" s="17">
        <v>1.0</v>
      </c>
      <c r="G900" s="17">
        <f t="array" ref="G900">IF(OR(D900="",E900=""),"",IFERROR(CHOOSE(MATCH(E900,{"S","M","L","-"},0),VLOOKUP(D900,Menu!$A$2:$F$105,3,0),VLOOKUP(D900,Menu!$A$2:$F$105,4,0),VLOOKUP(D900,Menu!$A$2:$F$105,5,0),VLOOKUP(D900,Menu!$A$2:$F$105,6,0)),"N/A"))</f>
        <v>109</v>
      </c>
      <c r="H900" s="17">
        <f t="shared" si="2"/>
        <v>109</v>
      </c>
      <c r="I900" s="17">
        <f t="shared" si="4"/>
        <v>2781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6">
        <v>45304.0</v>
      </c>
      <c r="B901" s="17" t="str">
        <f t="shared" si="1"/>
        <v>Saturday</v>
      </c>
      <c r="C901" s="17" t="str">
        <f>IF(D901="","",VLOOKUP(D901,Menu!$A$2:$B$105,2,0))</f>
        <v>Pizza</v>
      </c>
      <c r="D901" s="17" t="s">
        <v>26</v>
      </c>
      <c r="E901" s="17" t="s">
        <v>5</v>
      </c>
      <c r="F901" s="17">
        <v>5.0</v>
      </c>
      <c r="G901" s="17">
        <f t="array" ref="G901">IF(OR(D901="",E901=""),"",IFERROR(CHOOSE(MATCH(E901,{"S","M","L","-"},0),VLOOKUP(D901,Menu!$A$2:$F$105,3,0),VLOOKUP(D901,Menu!$A$2:$F$105,4,0),VLOOKUP(D901,Menu!$A$2:$F$105,5,0),VLOOKUP(D901,Menu!$A$2:$F$105,6,0)),"N/A"))</f>
        <v>99</v>
      </c>
      <c r="H901" s="17">
        <f t="shared" si="2"/>
        <v>495</v>
      </c>
      <c r="I901" s="17">
        <f t="shared" si="4"/>
        <v>2781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6">
        <v>45304.0</v>
      </c>
      <c r="B902" s="17" t="str">
        <f t="shared" si="1"/>
        <v>Saturday</v>
      </c>
      <c r="C902" s="17" t="str">
        <f>IF(D902="","",VLOOKUP(D902,Menu!$A$2:$B$105,2,0))</f>
        <v>Shake</v>
      </c>
      <c r="D902" s="17" t="s">
        <v>38</v>
      </c>
      <c r="E902" s="17" t="s">
        <v>5</v>
      </c>
      <c r="F902" s="17">
        <v>4.0</v>
      </c>
      <c r="G902" s="17">
        <f t="array" ref="G902">IF(OR(D902="",E902=""),"",IFERROR(CHOOSE(MATCH(E902,{"S","M","L","-"},0),VLOOKUP(D902,Menu!$A$2:$F$105,3,0),VLOOKUP(D902,Menu!$A$2:$F$105,4,0),VLOOKUP(D902,Menu!$A$2:$F$105,5,0),VLOOKUP(D902,Menu!$A$2:$F$105,6,0)),"N/A"))</f>
        <v>70</v>
      </c>
      <c r="H902" s="17">
        <f t="shared" si="2"/>
        <v>280</v>
      </c>
      <c r="I902" s="17">
        <f t="shared" si="4"/>
        <v>2781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6">
        <v>45304.0</v>
      </c>
      <c r="B903" s="17" t="str">
        <f t="shared" si="1"/>
        <v>Saturday</v>
      </c>
      <c r="C903" s="17" t="str">
        <f>IF(D903="","",VLOOKUP(D903,Menu!$A$2:$B$105,2,0))</f>
        <v>Pizza</v>
      </c>
      <c r="D903" s="17" t="s">
        <v>11</v>
      </c>
      <c r="E903" s="17" t="s">
        <v>4</v>
      </c>
      <c r="F903" s="17">
        <v>1.0</v>
      </c>
      <c r="G903" s="17">
        <f t="array" ref="G903">IF(OR(D903="",E903=""),"",IFERROR(CHOOSE(MATCH(E903,{"S","M","L","-"},0),VLOOKUP(D903,Menu!$A$2:$F$105,3,0),VLOOKUP(D903,Menu!$A$2:$F$105,4,0),VLOOKUP(D903,Menu!$A$2:$F$105,5,0),VLOOKUP(D903,Menu!$A$2:$F$105,6,0)),"N/A"))</f>
        <v>209</v>
      </c>
      <c r="H903" s="17">
        <f t="shared" si="2"/>
        <v>209</v>
      </c>
      <c r="I903" s="17">
        <f t="shared" si="4"/>
        <v>2781</v>
      </c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6">
        <v>45304.0</v>
      </c>
      <c r="B904" s="17" t="str">
        <f t="shared" si="1"/>
        <v>Saturday</v>
      </c>
      <c r="C904" s="17" t="str">
        <f>IF(D904="","",VLOOKUP(D904,Menu!$A$2:$B$105,2,0))</f>
        <v>Bread</v>
      </c>
      <c r="D904" s="17" t="s">
        <v>35</v>
      </c>
      <c r="E904" s="17" t="s">
        <v>5</v>
      </c>
      <c r="F904" s="17">
        <v>1.0</v>
      </c>
      <c r="G904" s="17">
        <f t="array" ref="G904">IF(OR(D904="",E904=""),"",IFERROR(CHOOSE(MATCH(E904,{"S","M","L","-"},0),VLOOKUP(D904,Menu!$A$2:$F$105,3,0),VLOOKUP(D904,Menu!$A$2:$F$105,4,0),VLOOKUP(D904,Menu!$A$2:$F$105,5,0),VLOOKUP(D904,Menu!$A$2:$F$105,6,0)),"N/A"))</f>
        <v>49</v>
      </c>
      <c r="H904" s="17">
        <f t="shared" si="2"/>
        <v>49</v>
      </c>
      <c r="I904" s="17">
        <f t="shared" si="4"/>
        <v>2781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6">
        <v>45304.0</v>
      </c>
      <c r="B905" s="17" t="str">
        <f t="shared" si="1"/>
        <v>Saturday</v>
      </c>
      <c r="C905" s="17" t="str">
        <f>IF(D905="","",VLOOKUP(D905,Menu!$A$2:$B$105,2,0))</f>
        <v>Pizza</v>
      </c>
      <c r="D905" s="17" t="s">
        <v>24</v>
      </c>
      <c r="E905" s="17" t="s">
        <v>4</v>
      </c>
      <c r="F905" s="17">
        <v>1.0</v>
      </c>
      <c r="G905" s="17">
        <f t="array" ref="G905">IF(OR(D905="",E905=""),"",IFERROR(CHOOSE(MATCH(E905,{"S","M","L","-"},0),VLOOKUP(D905,Menu!$A$2:$F$105,3,0),VLOOKUP(D905,Menu!$A$2:$F$105,4,0),VLOOKUP(D905,Menu!$A$2:$F$105,5,0),VLOOKUP(D905,Menu!$A$2:$F$105,6,0)),"N/A"))</f>
        <v>349</v>
      </c>
      <c r="H905" s="17">
        <f t="shared" si="2"/>
        <v>349</v>
      </c>
      <c r="I905" s="17">
        <f t="shared" si="4"/>
        <v>2781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6">
        <v>45304.0</v>
      </c>
      <c r="B906" s="17" t="str">
        <f t="shared" si="1"/>
        <v>Saturday</v>
      </c>
      <c r="C906" s="17" t="str">
        <f>IF(D906="","",VLOOKUP(D906,Menu!$A$2:$B$105,2,0))</f>
        <v>Pizza</v>
      </c>
      <c r="D906" s="17" t="s">
        <v>11</v>
      </c>
      <c r="E906" s="17" t="s">
        <v>2</v>
      </c>
      <c r="F906" s="17">
        <v>1.0</v>
      </c>
      <c r="G906" s="17">
        <f t="array" ref="G906">IF(OR(D906="",E906=""),"",IFERROR(CHOOSE(MATCH(E906,{"S","M","L","-"},0),VLOOKUP(D906,Menu!$A$2:$F$105,3,0),VLOOKUP(D906,Menu!$A$2:$F$105,4,0),VLOOKUP(D906,Menu!$A$2:$F$105,5,0),VLOOKUP(D906,Menu!$A$2:$F$105,6,0)),"N/A"))</f>
        <v>69</v>
      </c>
      <c r="H906" s="17">
        <f t="shared" si="2"/>
        <v>69</v>
      </c>
      <c r="I906" s="17">
        <f t="shared" si="4"/>
        <v>2781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6">
        <v>45304.0</v>
      </c>
      <c r="B907" s="17" t="str">
        <f t="shared" si="1"/>
        <v>Saturday</v>
      </c>
      <c r="C907" s="17" t="str">
        <f>IF(D907="","",VLOOKUP(D907,Menu!$A$2:$B$105,2,0))</f>
        <v>Pizza</v>
      </c>
      <c r="D907" s="17" t="s">
        <v>15</v>
      </c>
      <c r="E907" s="17" t="s">
        <v>2</v>
      </c>
      <c r="F907" s="17">
        <v>1.0</v>
      </c>
      <c r="G907" s="17">
        <f t="array" ref="G907">IF(OR(D907="",E907=""),"",IFERROR(CHOOSE(MATCH(E907,{"S","M","L","-"},0),VLOOKUP(D907,Menu!$A$2:$F$105,3,0),VLOOKUP(D907,Menu!$A$2:$F$105,4,0),VLOOKUP(D907,Menu!$A$2:$F$105,5,0),VLOOKUP(D907,Menu!$A$2:$F$105,6,0)),"N/A"))</f>
        <v>99</v>
      </c>
      <c r="H907" s="17">
        <f t="shared" si="2"/>
        <v>99</v>
      </c>
      <c r="I907" s="17">
        <f t="shared" si="4"/>
        <v>2781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6">
        <v>45304.0</v>
      </c>
      <c r="B908" s="17" t="str">
        <f t="shared" si="1"/>
        <v>Saturday</v>
      </c>
      <c r="C908" s="17" t="str">
        <f>IF(D908="","",VLOOKUP(D908,Menu!$A$2:$B$105,2,0))</f>
        <v>Pizza</v>
      </c>
      <c r="D908" s="17" t="s">
        <v>18</v>
      </c>
      <c r="E908" s="17" t="s">
        <v>2</v>
      </c>
      <c r="F908" s="17">
        <v>1.0</v>
      </c>
      <c r="G908" s="17">
        <f t="array" ref="G908">IF(OR(D908="",E908=""),"",IFERROR(CHOOSE(MATCH(E908,{"S","M","L","-"},0),VLOOKUP(D908,Menu!$A$2:$F$105,3,0),VLOOKUP(D908,Menu!$A$2:$F$105,4,0),VLOOKUP(D908,Menu!$A$2:$F$105,5,0),VLOOKUP(D908,Menu!$A$2:$F$105,6,0)),"N/A"))</f>
        <v>109</v>
      </c>
      <c r="H908" s="17">
        <f t="shared" si="2"/>
        <v>109</v>
      </c>
      <c r="I908" s="17">
        <f t="shared" si="4"/>
        <v>2781</v>
      </c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6">
        <v>45304.0</v>
      </c>
      <c r="B909" s="17" t="str">
        <f t="shared" si="1"/>
        <v>Saturday</v>
      </c>
      <c r="C909" s="17" t="str">
        <f>IF(D909="","",VLOOKUP(D909,Menu!$A$2:$B$105,2,0))</f>
        <v>Pizza</v>
      </c>
      <c r="D909" s="17" t="s">
        <v>8</v>
      </c>
      <c r="E909" s="17" t="s">
        <v>2</v>
      </c>
      <c r="F909" s="17">
        <v>1.0</v>
      </c>
      <c r="G909" s="17">
        <f t="array" ref="G909">IF(OR(D909="",E909=""),"",IFERROR(CHOOSE(MATCH(E909,{"S","M","L","-"},0),VLOOKUP(D909,Menu!$A$2:$F$105,3,0),VLOOKUP(D909,Menu!$A$2:$F$105,4,0),VLOOKUP(D909,Menu!$A$2:$F$105,5,0),VLOOKUP(D909,Menu!$A$2:$F$105,6,0)),"N/A"))</f>
        <v>59</v>
      </c>
      <c r="H909" s="17">
        <f t="shared" si="2"/>
        <v>59</v>
      </c>
      <c r="I909" s="17">
        <f t="shared" si="4"/>
        <v>2781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6">
        <v>45304.0</v>
      </c>
      <c r="B910" s="17" t="str">
        <f t="shared" si="1"/>
        <v>Saturday</v>
      </c>
      <c r="C910" s="17" t="str">
        <f>IF(D910="","",VLOOKUP(D910,Menu!$A$2:$B$105,2,0))</f>
        <v>Pizza</v>
      </c>
      <c r="D910" s="17" t="s">
        <v>15</v>
      </c>
      <c r="E910" s="17" t="s">
        <v>4</v>
      </c>
      <c r="F910" s="17">
        <v>1.0</v>
      </c>
      <c r="G910" s="17">
        <f t="array" ref="G910">IF(OR(D910="",E910=""),"",IFERROR(CHOOSE(MATCH(E910,{"S","M","L","-"},0),VLOOKUP(D910,Menu!$A$2:$F$105,3,0),VLOOKUP(D910,Menu!$A$2:$F$105,4,0),VLOOKUP(D910,Menu!$A$2:$F$105,5,0),VLOOKUP(D910,Menu!$A$2:$F$105,6,0)),"N/A"))</f>
        <v>249</v>
      </c>
      <c r="H910" s="17">
        <f t="shared" si="2"/>
        <v>249</v>
      </c>
      <c r="I910" s="17">
        <f t="shared" si="4"/>
        <v>2781</v>
      </c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6">
        <v>45304.0</v>
      </c>
      <c r="B911" s="17" t="str">
        <f t="shared" si="1"/>
        <v>Saturday</v>
      </c>
      <c r="C911" s="17" t="str">
        <f>IF(D911="","",VLOOKUP(D911,Menu!$A$2:$B$105,2,0))</f>
        <v>Pizza</v>
      </c>
      <c r="D911" s="17" t="s">
        <v>22</v>
      </c>
      <c r="E911" s="17" t="s">
        <v>2</v>
      </c>
      <c r="F911" s="17">
        <v>1.0</v>
      </c>
      <c r="G911" s="17">
        <f t="array" ref="G911">IF(OR(D911="",E911=""),"",IFERROR(CHOOSE(MATCH(E911,{"S","M","L","-"},0),VLOOKUP(D911,Menu!$A$2:$F$105,3,0),VLOOKUP(D911,Menu!$A$2:$F$105,4,0),VLOOKUP(D911,Menu!$A$2:$F$105,5,0),VLOOKUP(D911,Menu!$A$2:$F$105,6,0)),"N/A"))</f>
        <v>129</v>
      </c>
      <c r="H911" s="17">
        <f t="shared" si="2"/>
        <v>129</v>
      </c>
      <c r="I911" s="17">
        <f t="shared" si="4"/>
        <v>2781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6">
        <v>45304.0</v>
      </c>
      <c r="B912" s="17" t="str">
        <f t="shared" si="1"/>
        <v>Saturday</v>
      </c>
      <c r="C912" s="17" t="str">
        <f>IF(D912="","",VLOOKUP(D912,Menu!$A$2:$B$105,2,0))</f>
        <v>Pizza</v>
      </c>
      <c r="D912" s="17" t="s">
        <v>23</v>
      </c>
      <c r="E912" s="17" t="s">
        <v>2</v>
      </c>
      <c r="F912" s="17">
        <v>1.0</v>
      </c>
      <c r="G912" s="17">
        <f t="array" ref="G912">IF(OR(D912="",E912=""),"",IFERROR(CHOOSE(MATCH(E912,{"S","M","L","-"},0),VLOOKUP(D912,Menu!$A$2:$F$105,3,0),VLOOKUP(D912,Menu!$A$2:$F$105,4,0),VLOOKUP(D912,Menu!$A$2:$F$105,5,0),VLOOKUP(D912,Menu!$A$2:$F$105,6,0)),"N/A"))</f>
        <v>129</v>
      </c>
      <c r="H912" s="17">
        <f t="shared" si="2"/>
        <v>129</v>
      </c>
      <c r="I912" s="17">
        <f t="shared" si="4"/>
        <v>2781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6">
        <v>45304.0</v>
      </c>
      <c r="B913" s="17" t="str">
        <f t="shared" si="1"/>
        <v>Saturday</v>
      </c>
      <c r="C913" s="17" t="str">
        <f>IF(D913="","",VLOOKUP(D913,Menu!$A$2:$B$105,2,0))</f>
        <v>Pizza</v>
      </c>
      <c r="D913" s="17" t="s">
        <v>10</v>
      </c>
      <c r="E913" s="17" t="s">
        <v>2</v>
      </c>
      <c r="F913" s="17">
        <v>1.0</v>
      </c>
      <c r="G913" s="17">
        <f t="array" ref="G913">IF(OR(D913="",E913=""),"",IFERROR(CHOOSE(MATCH(E913,{"S","M","L","-"},0),VLOOKUP(D913,Menu!$A$2:$F$105,3,0),VLOOKUP(D913,Menu!$A$2:$F$105,4,0),VLOOKUP(D913,Menu!$A$2:$F$105,5,0),VLOOKUP(D913,Menu!$A$2:$F$105,6,0)),"N/A"))</f>
        <v>59</v>
      </c>
      <c r="H913" s="17">
        <f t="shared" si="2"/>
        <v>59</v>
      </c>
      <c r="I913" s="17">
        <f t="shared" si="4"/>
        <v>2781</v>
      </c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8">
        <v>45305.0</v>
      </c>
      <c r="B914" s="19" t="str">
        <f t="shared" si="1"/>
        <v>Sunday</v>
      </c>
      <c r="C914" s="19" t="str">
        <f>IF(D914="","",VLOOKUP(D914,Menu!$A$2:$B$105,2,0))</f>
        <v>Pizza</v>
      </c>
      <c r="D914" s="19" t="s">
        <v>26</v>
      </c>
      <c r="E914" s="19" t="s">
        <v>5</v>
      </c>
      <c r="F914" s="19">
        <v>75.0</v>
      </c>
      <c r="G914" s="19">
        <f t="array" ref="G914">IF(OR(D914="",E914=""),"",IFERROR(CHOOSE(MATCH(E914,{"S","M","L","-"},0),VLOOKUP(D914,Menu!$A$2:$F$105,3,0),VLOOKUP(D914,Menu!$A$2:$F$105,4,0),VLOOKUP(D914,Menu!$A$2:$F$105,5,0),VLOOKUP(D914,Menu!$A$2:$F$105,6,0)),"N/A"))</f>
        <v>99</v>
      </c>
      <c r="H914" s="19">
        <f t="shared" si="2"/>
        <v>7425</v>
      </c>
      <c r="I914" s="19">
        <f t="shared" si="4"/>
        <v>7425</v>
      </c>
      <c r="J914" s="20" t="s">
        <v>80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6">
        <v>45306.0</v>
      </c>
      <c r="B915" s="17" t="str">
        <f t="shared" si="1"/>
        <v>Monday</v>
      </c>
      <c r="C915" s="17" t="str">
        <f>IF(D915="","",VLOOKUP(D915,Menu!$A$2:$B$105,2,0))</f>
        <v>Pizza</v>
      </c>
      <c r="D915" s="17" t="s">
        <v>11</v>
      </c>
      <c r="E915" s="17" t="s">
        <v>2</v>
      </c>
      <c r="F915" s="17">
        <v>1.0</v>
      </c>
      <c r="G915" s="17">
        <f t="array" ref="G915">IF(OR(D915="",E915=""),"",IFERROR(CHOOSE(MATCH(E915,{"S","M","L","-"},0),VLOOKUP(D915,Menu!$A$2:$F$105,3,0),VLOOKUP(D915,Menu!$A$2:$F$105,4,0),VLOOKUP(D915,Menu!$A$2:$F$105,5,0),VLOOKUP(D915,Menu!$A$2:$F$105,6,0)),"N/A"))</f>
        <v>69</v>
      </c>
      <c r="H915" s="17">
        <f t="shared" si="2"/>
        <v>69</v>
      </c>
      <c r="I915" s="17">
        <f t="shared" si="4"/>
        <v>386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6">
        <v>45306.0</v>
      </c>
      <c r="B916" s="17" t="str">
        <f t="shared" si="1"/>
        <v>Monday</v>
      </c>
      <c r="C916" s="17" t="str">
        <f>IF(D916="","",VLOOKUP(D916,Menu!$A$2:$B$105,2,0))</f>
        <v>Pizza</v>
      </c>
      <c r="D916" s="17" t="s">
        <v>15</v>
      </c>
      <c r="E916" s="17" t="s">
        <v>3</v>
      </c>
      <c r="F916" s="17">
        <v>1.0</v>
      </c>
      <c r="G916" s="17">
        <f t="array" ref="G916">IF(OR(D916="",E916=""),"",IFERROR(CHOOSE(MATCH(E916,{"S","M","L","-"},0),VLOOKUP(D916,Menu!$A$2:$F$105,3,0),VLOOKUP(D916,Menu!$A$2:$F$105,4,0),VLOOKUP(D916,Menu!$A$2:$F$105,5,0),VLOOKUP(D916,Menu!$A$2:$F$105,6,0)),"N/A"))</f>
        <v>149</v>
      </c>
      <c r="H916" s="17">
        <f t="shared" si="2"/>
        <v>149</v>
      </c>
      <c r="I916" s="17">
        <f t="shared" si="4"/>
        <v>386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6">
        <v>45306.0</v>
      </c>
      <c r="B917" s="17" t="str">
        <f t="shared" si="1"/>
        <v>Monday</v>
      </c>
      <c r="C917" s="17" t="str">
        <f>IF(D917="","",VLOOKUP(D917,Menu!$A$2:$B$105,2,0))</f>
        <v>Pizza</v>
      </c>
      <c r="D917" s="17" t="s">
        <v>8</v>
      </c>
      <c r="E917" s="17" t="s">
        <v>2</v>
      </c>
      <c r="F917" s="17">
        <v>1.0</v>
      </c>
      <c r="G917" s="17">
        <f t="array" ref="G917">IF(OR(D917="",E917=""),"",IFERROR(CHOOSE(MATCH(E917,{"S","M","L","-"},0),VLOOKUP(D917,Menu!$A$2:$F$105,3,0),VLOOKUP(D917,Menu!$A$2:$F$105,4,0),VLOOKUP(D917,Menu!$A$2:$F$105,5,0),VLOOKUP(D917,Menu!$A$2:$F$105,6,0)),"N/A"))</f>
        <v>59</v>
      </c>
      <c r="H917" s="17">
        <f t="shared" si="2"/>
        <v>59</v>
      </c>
      <c r="I917" s="17">
        <f t="shared" si="4"/>
        <v>386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6">
        <v>45306.0</v>
      </c>
      <c r="B918" s="17" t="str">
        <f t="shared" si="1"/>
        <v>Monday</v>
      </c>
      <c r="C918" s="17" t="str">
        <f>IF(D918="","",VLOOKUP(D918,Menu!$A$2:$B$105,2,0))</f>
        <v>Pizza</v>
      </c>
      <c r="D918" s="17" t="s">
        <v>11</v>
      </c>
      <c r="E918" s="17" t="s">
        <v>3</v>
      </c>
      <c r="F918" s="17">
        <v>1.0</v>
      </c>
      <c r="G918" s="17">
        <f t="array" ref="G918">IF(OR(D918="",E918=""),"",IFERROR(CHOOSE(MATCH(E918,{"S","M","L","-"},0),VLOOKUP(D918,Menu!$A$2:$F$105,3,0),VLOOKUP(D918,Menu!$A$2:$F$105,4,0),VLOOKUP(D918,Menu!$A$2:$F$105,5,0),VLOOKUP(D918,Menu!$A$2:$F$105,6,0)),"N/A"))</f>
        <v>109</v>
      </c>
      <c r="H918" s="17">
        <f t="shared" si="2"/>
        <v>109</v>
      </c>
      <c r="I918" s="17">
        <f t="shared" si="4"/>
        <v>386</v>
      </c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8">
        <v>45308.0</v>
      </c>
      <c r="B919" s="19" t="str">
        <f t="shared" si="1"/>
        <v>Wednesday</v>
      </c>
      <c r="C919" s="19" t="str">
        <f>IF(D919="","",VLOOKUP(D919,Menu!$A$2:$B$105,2,0))</f>
        <v>Pizza</v>
      </c>
      <c r="D919" s="19" t="s">
        <v>19</v>
      </c>
      <c r="E919" s="19" t="s">
        <v>4</v>
      </c>
      <c r="F919" s="19">
        <v>2.0</v>
      </c>
      <c r="G919" s="19">
        <f t="array" ref="G919">IF(OR(D919="",E919=""),"",IFERROR(CHOOSE(MATCH(E919,{"S","M","L","-"},0),VLOOKUP(D919,Menu!$A$2:$F$105,3,0),VLOOKUP(D919,Menu!$A$2:$F$105,4,0),VLOOKUP(D919,Menu!$A$2:$F$105,5,0),VLOOKUP(D919,Menu!$A$2:$F$105,6,0)),"N/A"))</f>
        <v>289</v>
      </c>
      <c r="H919" s="19">
        <f t="shared" si="2"/>
        <v>578</v>
      </c>
      <c r="I919" s="19">
        <f t="shared" si="4"/>
        <v>767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8">
        <v>45308.0</v>
      </c>
      <c r="B920" s="19" t="str">
        <f t="shared" si="1"/>
        <v>Wednesday</v>
      </c>
      <c r="C920" s="19" t="str">
        <f>IF(D920="","",VLOOKUP(D920,Menu!$A$2:$B$105,2,0))</f>
        <v>Pizza</v>
      </c>
      <c r="D920" s="19" t="s">
        <v>19</v>
      </c>
      <c r="E920" s="19" t="s">
        <v>3</v>
      </c>
      <c r="F920" s="19">
        <v>1.0</v>
      </c>
      <c r="G920" s="19">
        <f t="array" ref="G920">IF(OR(D920="",E920=""),"",IFERROR(CHOOSE(MATCH(E920,{"S","M","L","-"},0),VLOOKUP(D920,Menu!$A$2:$F$105,3,0),VLOOKUP(D920,Menu!$A$2:$F$105,4,0),VLOOKUP(D920,Menu!$A$2:$F$105,5,0),VLOOKUP(D920,Menu!$A$2:$F$105,6,0)),"N/A"))</f>
        <v>189</v>
      </c>
      <c r="H920" s="19">
        <f t="shared" si="2"/>
        <v>189</v>
      </c>
      <c r="I920" s="19">
        <f t="shared" si="4"/>
        <v>767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6">
        <v>45309.0</v>
      </c>
      <c r="B921" s="17" t="str">
        <f t="shared" si="1"/>
        <v>Thursday</v>
      </c>
      <c r="C921" s="17" t="str">
        <f>IF(D921="","",VLOOKUP(D921,Menu!$A$2:$B$105,2,0))</f>
        <v>Pizza</v>
      </c>
      <c r="D921" s="17" t="s">
        <v>6</v>
      </c>
      <c r="E921" s="17" t="s">
        <v>2</v>
      </c>
      <c r="F921" s="17">
        <v>1.0</v>
      </c>
      <c r="G921" s="17">
        <f t="array" ref="G921">IF(OR(D921="",E921=""),"",IFERROR(CHOOSE(MATCH(E921,{"S","M","L","-"},0),VLOOKUP(D921,Menu!$A$2:$F$105,3,0),VLOOKUP(D921,Menu!$A$2:$F$105,4,0),VLOOKUP(D921,Menu!$A$2:$F$105,5,0),VLOOKUP(D921,Menu!$A$2:$F$105,6,0)),"N/A"))</f>
        <v>49</v>
      </c>
      <c r="H921" s="17">
        <f t="shared" si="2"/>
        <v>49</v>
      </c>
      <c r="I921" s="17">
        <f t="shared" si="4"/>
        <v>366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6">
        <v>45309.0</v>
      </c>
      <c r="B922" s="17" t="str">
        <f t="shared" si="1"/>
        <v>Thursday</v>
      </c>
      <c r="C922" s="17" t="str">
        <f>IF(D922="","",VLOOKUP(D922,Menu!$A$2:$B$105,2,0))</f>
        <v>Pizza</v>
      </c>
      <c r="D922" s="17" t="s">
        <v>10</v>
      </c>
      <c r="E922" s="17" t="s">
        <v>2</v>
      </c>
      <c r="F922" s="17">
        <v>1.0</v>
      </c>
      <c r="G922" s="17">
        <f t="array" ref="G922">IF(OR(D922="",E922=""),"",IFERROR(CHOOSE(MATCH(E922,{"S","M","L","-"},0),VLOOKUP(D922,Menu!$A$2:$F$105,3,0),VLOOKUP(D922,Menu!$A$2:$F$105,4,0),VLOOKUP(D922,Menu!$A$2:$F$105,5,0),VLOOKUP(D922,Menu!$A$2:$F$105,6,0)),"N/A"))</f>
        <v>59</v>
      </c>
      <c r="H922" s="17">
        <f t="shared" si="2"/>
        <v>59</v>
      </c>
      <c r="I922" s="17">
        <f t="shared" si="4"/>
        <v>366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6">
        <v>45309.0</v>
      </c>
      <c r="B923" s="17" t="str">
        <f t="shared" si="1"/>
        <v>Thursday</v>
      </c>
      <c r="C923" s="17" t="str">
        <f>IF(D923="","",VLOOKUP(D923,Menu!$A$2:$B$105,2,0))</f>
        <v>Pizza</v>
      </c>
      <c r="D923" s="17" t="s">
        <v>14</v>
      </c>
      <c r="E923" s="17" t="s">
        <v>3</v>
      </c>
      <c r="F923" s="17">
        <v>2.0</v>
      </c>
      <c r="G923" s="17">
        <f t="array" ref="G923">IF(OR(D923="",E923=""),"",IFERROR(CHOOSE(MATCH(E923,{"S","M","L","-"},0),VLOOKUP(D923,Menu!$A$2:$F$105,3,0),VLOOKUP(D923,Menu!$A$2:$F$105,4,0),VLOOKUP(D923,Menu!$A$2:$F$105,5,0),VLOOKUP(D923,Menu!$A$2:$F$105,6,0)),"N/A"))</f>
        <v>129</v>
      </c>
      <c r="H923" s="17">
        <f t="shared" si="2"/>
        <v>258</v>
      </c>
      <c r="I923" s="17">
        <f t="shared" si="4"/>
        <v>366</v>
      </c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8">
        <v>45310.0</v>
      </c>
      <c r="B924" s="19" t="str">
        <f t="shared" si="1"/>
        <v>Friday</v>
      </c>
      <c r="C924" s="19" t="str">
        <f>IF(D924="","",VLOOKUP(D924,Menu!$A$2:$B$105,2,0))</f>
        <v>Pizza</v>
      </c>
      <c r="D924" s="19" t="s">
        <v>6</v>
      </c>
      <c r="E924" s="19" t="s">
        <v>2</v>
      </c>
      <c r="F924" s="19">
        <v>2.0</v>
      </c>
      <c r="G924" s="19">
        <f t="array" ref="G924">IF(OR(D924="",E924=""),"",IFERROR(CHOOSE(MATCH(E924,{"S","M","L","-"},0),VLOOKUP(D924,Menu!$A$2:$F$105,3,0),VLOOKUP(D924,Menu!$A$2:$F$105,4,0),VLOOKUP(D924,Menu!$A$2:$F$105,5,0),VLOOKUP(D924,Menu!$A$2:$F$105,6,0)),"N/A"))</f>
        <v>49</v>
      </c>
      <c r="H924" s="19">
        <f t="shared" si="2"/>
        <v>98</v>
      </c>
      <c r="I924" s="19">
        <f t="shared" si="4"/>
        <v>207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8">
        <v>45310.0</v>
      </c>
      <c r="B925" s="19" t="str">
        <f t="shared" si="1"/>
        <v>Friday</v>
      </c>
      <c r="C925" s="19" t="str">
        <f>IF(D925="","",VLOOKUP(D925,Menu!$A$2:$B$105,2,0))</f>
        <v>Pizza</v>
      </c>
      <c r="D925" s="19" t="s">
        <v>16</v>
      </c>
      <c r="E925" s="19" t="s">
        <v>2</v>
      </c>
      <c r="F925" s="19">
        <v>1.0</v>
      </c>
      <c r="G925" s="19">
        <f t="array" ref="G925">IF(OR(D925="",E925=""),"",IFERROR(CHOOSE(MATCH(E925,{"S","M","L","-"},0),VLOOKUP(D925,Menu!$A$2:$F$105,3,0),VLOOKUP(D925,Menu!$A$2:$F$105,4,0),VLOOKUP(D925,Menu!$A$2:$F$105,5,0),VLOOKUP(D925,Menu!$A$2:$F$105,6,0)),"N/A"))</f>
        <v>109</v>
      </c>
      <c r="H925" s="19">
        <f t="shared" si="2"/>
        <v>109</v>
      </c>
      <c r="I925" s="19">
        <f t="shared" si="4"/>
        <v>207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6">
        <v>45311.0</v>
      </c>
      <c r="B926" s="17" t="str">
        <f t="shared" si="1"/>
        <v>Saturday</v>
      </c>
      <c r="C926" s="17" t="str">
        <f>IF(D926="","",VLOOKUP(D926,Menu!$A$2:$B$105,2,0))</f>
        <v>Pizza</v>
      </c>
      <c r="D926" s="17" t="s">
        <v>15</v>
      </c>
      <c r="E926" s="17" t="s">
        <v>3</v>
      </c>
      <c r="F926" s="17">
        <v>1.0</v>
      </c>
      <c r="G926" s="17">
        <f t="array" ref="G926">IF(OR(D926="",E926=""),"",IFERROR(CHOOSE(MATCH(E926,{"S","M","L","-"},0),VLOOKUP(D926,Menu!$A$2:$F$105,3,0),VLOOKUP(D926,Menu!$A$2:$F$105,4,0),VLOOKUP(D926,Menu!$A$2:$F$105,5,0),VLOOKUP(D926,Menu!$A$2:$F$105,6,0)),"N/A"))</f>
        <v>149</v>
      </c>
      <c r="H926" s="17">
        <f t="shared" si="2"/>
        <v>149</v>
      </c>
      <c r="I926" s="17">
        <f t="shared" si="4"/>
        <v>1309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6">
        <v>45311.0</v>
      </c>
      <c r="B927" s="17" t="str">
        <f t="shared" si="1"/>
        <v>Saturday</v>
      </c>
      <c r="C927" s="17" t="str">
        <f>IF(D927="","",VLOOKUP(D927,Menu!$A$2:$B$105,2,0))</f>
        <v>Pizza</v>
      </c>
      <c r="D927" s="17" t="s">
        <v>26</v>
      </c>
      <c r="E927" s="17" t="s">
        <v>5</v>
      </c>
      <c r="F927" s="17">
        <v>2.0</v>
      </c>
      <c r="G927" s="17">
        <f t="array" ref="G927">IF(OR(D927="",E927=""),"",IFERROR(CHOOSE(MATCH(E927,{"S","M","L","-"},0),VLOOKUP(D927,Menu!$A$2:$F$105,3,0),VLOOKUP(D927,Menu!$A$2:$F$105,4,0),VLOOKUP(D927,Menu!$A$2:$F$105,5,0),VLOOKUP(D927,Menu!$A$2:$F$105,6,0)),"N/A"))</f>
        <v>99</v>
      </c>
      <c r="H927" s="17">
        <f t="shared" si="2"/>
        <v>198</v>
      </c>
      <c r="I927" s="17">
        <f t="shared" si="4"/>
        <v>1309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6">
        <v>45311.0</v>
      </c>
      <c r="B928" s="17" t="str">
        <f t="shared" si="1"/>
        <v>Saturday</v>
      </c>
      <c r="C928" s="17" t="str">
        <f>IF(D928="","",VLOOKUP(D928,Menu!$A$2:$B$105,2,0))</f>
        <v>Pizza</v>
      </c>
      <c r="D928" s="17" t="s">
        <v>20</v>
      </c>
      <c r="E928" s="17" t="s">
        <v>3</v>
      </c>
      <c r="F928" s="17">
        <v>1.0</v>
      </c>
      <c r="G928" s="17">
        <f t="array" ref="G928">IF(OR(D928="",E928=""),"",IFERROR(CHOOSE(MATCH(E928,{"S","M","L","-"},0),VLOOKUP(D928,Menu!$A$2:$F$105,3,0),VLOOKUP(D928,Menu!$A$2:$F$105,4,0),VLOOKUP(D928,Menu!$A$2:$F$105,5,0),VLOOKUP(D928,Menu!$A$2:$F$105,6,0)),"N/A"))</f>
        <v>199</v>
      </c>
      <c r="H928" s="17">
        <f t="shared" si="2"/>
        <v>199</v>
      </c>
      <c r="I928" s="17">
        <f t="shared" si="4"/>
        <v>1309</v>
      </c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6">
        <v>45311.0</v>
      </c>
      <c r="B929" s="17" t="str">
        <f t="shared" si="1"/>
        <v>Saturday</v>
      </c>
      <c r="C929" s="17" t="str">
        <f>IF(D929="","",VLOOKUP(D929,Menu!$A$2:$B$105,2,0))</f>
        <v>Pizza</v>
      </c>
      <c r="D929" s="17" t="s">
        <v>11</v>
      </c>
      <c r="E929" s="17" t="s">
        <v>3</v>
      </c>
      <c r="F929" s="17">
        <v>1.0</v>
      </c>
      <c r="G929" s="17">
        <f t="array" ref="G929">IF(OR(D929="",E929=""),"",IFERROR(CHOOSE(MATCH(E929,{"S","M","L","-"},0),VLOOKUP(D929,Menu!$A$2:$F$105,3,0),VLOOKUP(D929,Menu!$A$2:$F$105,4,0),VLOOKUP(D929,Menu!$A$2:$F$105,5,0),VLOOKUP(D929,Menu!$A$2:$F$105,6,0)),"N/A"))</f>
        <v>109</v>
      </c>
      <c r="H929" s="17">
        <f t="shared" si="2"/>
        <v>109</v>
      </c>
      <c r="I929" s="17">
        <f t="shared" si="4"/>
        <v>1309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6">
        <v>45311.0</v>
      </c>
      <c r="B930" s="17" t="str">
        <f t="shared" si="1"/>
        <v>Saturday</v>
      </c>
      <c r="C930" s="17" t="str">
        <f>IF(D930="","",VLOOKUP(D930,Menu!$A$2:$B$105,2,0))</f>
        <v>Pizza</v>
      </c>
      <c r="D930" s="17" t="s">
        <v>18</v>
      </c>
      <c r="E930" s="17" t="s">
        <v>2</v>
      </c>
      <c r="F930" s="17">
        <v>1.0</v>
      </c>
      <c r="G930" s="17">
        <f t="array" ref="G930">IF(OR(D930="",E930=""),"",IFERROR(CHOOSE(MATCH(E930,{"S","M","L","-"},0),VLOOKUP(D930,Menu!$A$2:$F$105,3,0),VLOOKUP(D930,Menu!$A$2:$F$105,4,0),VLOOKUP(D930,Menu!$A$2:$F$105,5,0),VLOOKUP(D930,Menu!$A$2:$F$105,6,0)),"N/A"))</f>
        <v>109</v>
      </c>
      <c r="H930" s="17">
        <f t="shared" si="2"/>
        <v>109</v>
      </c>
      <c r="I930" s="17">
        <f t="shared" si="4"/>
        <v>1309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6">
        <v>45311.0</v>
      </c>
      <c r="B931" s="17" t="str">
        <f t="shared" si="1"/>
        <v>Saturday</v>
      </c>
      <c r="C931" s="17" t="str">
        <f>IF(D931="","",VLOOKUP(D931,Menu!$A$2:$B$105,2,0))</f>
        <v>Pizza</v>
      </c>
      <c r="D931" s="17" t="s">
        <v>19</v>
      </c>
      <c r="E931" s="17" t="s">
        <v>3</v>
      </c>
      <c r="F931" s="17">
        <v>1.0</v>
      </c>
      <c r="G931" s="17">
        <f t="array" ref="G931">IF(OR(D931="",E931=""),"",IFERROR(CHOOSE(MATCH(E931,{"S","M","L","-"},0),VLOOKUP(D931,Menu!$A$2:$F$105,3,0),VLOOKUP(D931,Menu!$A$2:$F$105,4,0),VLOOKUP(D931,Menu!$A$2:$F$105,5,0),VLOOKUP(D931,Menu!$A$2:$F$105,6,0)),"N/A"))</f>
        <v>189</v>
      </c>
      <c r="H931" s="17">
        <f t="shared" si="2"/>
        <v>189</v>
      </c>
      <c r="I931" s="17">
        <f t="shared" si="4"/>
        <v>1309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6">
        <v>45311.0</v>
      </c>
      <c r="B932" s="17" t="str">
        <f t="shared" si="1"/>
        <v>Saturday</v>
      </c>
      <c r="C932" s="17" t="str">
        <f>IF(D932="","",VLOOKUP(D932,Menu!$A$2:$B$105,2,0))</f>
        <v>Pizza</v>
      </c>
      <c r="D932" s="17" t="s">
        <v>8</v>
      </c>
      <c r="E932" s="17" t="s">
        <v>3</v>
      </c>
      <c r="F932" s="17">
        <v>1.0</v>
      </c>
      <c r="G932" s="17">
        <f t="array" ref="G932">IF(OR(D932="",E932=""),"",IFERROR(CHOOSE(MATCH(E932,{"S","M","L","-"},0),VLOOKUP(D932,Menu!$A$2:$F$105,3,0),VLOOKUP(D932,Menu!$A$2:$F$105,4,0),VLOOKUP(D932,Menu!$A$2:$F$105,5,0),VLOOKUP(D932,Menu!$A$2:$F$105,6,0)),"N/A"))</f>
        <v>109</v>
      </c>
      <c r="H932" s="17">
        <f t="shared" si="2"/>
        <v>109</v>
      </c>
      <c r="I932" s="17">
        <f t="shared" si="4"/>
        <v>1309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6">
        <v>45311.0</v>
      </c>
      <c r="B933" s="17" t="str">
        <f t="shared" si="1"/>
        <v>Saturday</v>
      </c>
      <c r="C933" s="17" t="str">
        <f>IF(D933="","",VLOOKUP(D933,Menu!$A$2:$B$105,2,0))</f>
        <v>Pizza</v>
      </c>
      <c r="D933" s="17" t="s">
        <v>19</v>
      </c>
      <c r="E933" s="17" t="s">
        <v>2</v>
      </c>
      <c r="F933" s="17">
        <v>1.0</v>
      </c>
      <c r="G933" s="17">
        <f t="array" ref="G933">IF(OR(D933="",E933=""),"",IFERROR(CHOOSE(MATCH(E933,{"S","M","L","-"},0),VLOOKUP(D933,Menu!$A$2:$F$105,3,0),VLOOKUP(D933,Menu!$A$2:$F$105,4,0),VLOOKUP(D933,Menu!$A$2:$F$105,5,0),VLOOKUP(D933,Menu!$A$2:$F$105,6,0)),"N/A"))</f>
        <v>109</v>
      </c>
      <c r="H933" s="17">
        <f t="shared" si="2"/>
        <v>109</v>
      </c>
      <c r="I933" s="17">
        <f t="shared" si="4"/>
        <v>1309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6">
        <v>45311.0</v>
      </c>
      <c r="B934" s="17" t="str">
        <f t="shared" si="1"/>
        <v>Saturday</v>
      </c>
      <c r="C934" s="17" t="str">
        <f>IF(D934="","",VLOOKUP(D934,Menu!$A$2:$B$105,2,0))</f>
        <v>Pizza</v>
      </c>
      <c r="D934" s="17" t="s">
        <v>10</v>
      </c>
      <c r="E934" s="17" t="s">
        <v>2</v>
      </c>
      <c r="F934" s="17">
        <v>1.0</v>
      </c>
      <c r="G934" s="17">
        <f t="array" ref="G934">IF(OR(D934="",E934=""),"",IFERROR(CHOOSE(MATCH(E934,{"S","M","L","-"},0),VLOOKUP(D934,Menu!$A$2:$F$105,3,0),VLOOKUP(D934,Menu!$A$2:$F$105,4,0),VLOOKUP(D934,Menu!$A$2:$F$105,5,0),VLOOKUP(D934,Menu!$A$2:$F$105,6,0)),"N/A"))</f>
        <v>59</v>
      </c>
      <c r="H934" s="17">
        <f t="shared" si="2"/>
        <v>59</v>
      </c>
      <c r="I934" s="17">
        <f t="shared" si="4"/>
        <v>1309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6">
        <v>45311.0</v>
      </c>
      <c r="B935" s="17" t="str">
        <f t="shared" si="1"/>
        <v>Saturday</v>
      </c>
      <c r="C935" s="17" t="str">
        <f>IF(D935="","",VLOOKUP(D935,Menu!$A$2:$B$105,2,0))</f>
        <v>Pizza</v>
      </c>
      <c r="D935" s="17" t="s">
        <v>14</v>
      </c>
      <c r="E935" s="17" t="s">
        <v>2</v>
      </c>
      <c r="F935" s="17">
        <v>1.0</v>
      </c>
      <c r="G935" s="17">
        <f t="array" ref="G935">IF(OR(D935="",E935=""),"",IFERROR(CHOOSE(MATCH(E935,{"S","M","L","-"},0),VLOOKUP(D935,Menu!$A$2:$F$105,3,0),VLOOKUP(D935,Menu!$A$2:$F$105,4,0),VLOOKUP(D935,Menu!$A$2:$F$105,5,0),VLOOKUP(D935,Menu!$A$2:$F$105,6,0)),"N/A"))</f>
        <v>79</v>
      </c>
      <c r="H935" s="17">
        <f t="shared" si="2"/>
        <v>79</v>
      </c>
      <c r="I935" s="17">
        <f t="shared" si="4"/>
        <v>1309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8">
        <v>45312.0</v>
      </c>
      <c r="B936" s="19" t="str">
        <f t="shared" si="1"/>
        <v>Sunday</v>
      </c>
      <c r="C936" s="19" t="str">
        <f>IF(D936="","",VLOOKUP(D936,Menu!$A$2:$B$105,2,0))</f>
        <v>Pizza</v>
      </c>
      <c r="D936" s="19" t="s">
        <v>8</v>
      </c>
      <c r="E936" s="19" t="s">
        <v>2</v>
      </c>
      <c r="F936" s="19">
        <v>1.0</v>
      </c>
      <c r="G936" s="19">
        <f t="array" ref="G936">IF(OR(D936="",E936=""),"",IFERROR(CHOOSE(MATCH(E936,{"S","M","L","-"},0),VLOOKUP(D936,Menu!$A$2:$F$105,3,0),VLOOKUP(D936,Menu!$A$2:$F$105,4,0),VLOOKUP(D936,Menu!$A$2:$F$105,5,0),VLOOKUP(D936,Menu!$A$2:$F$105,6,0)),"N/A"))</f>
        <v>59</v>
      </c>
      <c r="H936" s="19">
        <f t="shared" si="2"/>
        <v>59</v>
      </c>
      <c r="I936" s="19">
        <f t="shared" si="4"/>
        <v>2342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8">
        <v>45312.0</v>
      </c>
      <c r="B937" s="19" t="str">
        <f t="shared" si="1"/>
        <v>Sunday</v>
      </c>
      <c r="C937" s="19" t="str">
        <f>IF(D937="","",VLOOKUP(D937,Menu!$A$2:$B$105,2,0))</f>
        <v>Pizza</v>
      </c>
      <c r="D937" s="19" t="s">
        <v>26</v>
      </c>
      <c r="E937" s="19" t="s">
        <v>5</v>
      </c>
      <c r="F937" s="19">
        <v>1.0</v>
      </c>
      <c r="G937" s="19">
        <f t="array" ref="G937">IF(OR(D937="",E937=""),"",IFERROR(CHOOSE(MATCH(E937,{"S","M","L","-"},0),VLOOKUP(D937,Menu!$A$2:$F$105,3,0),VLOOKUP(D937,Menu!$A$2:$F$105,4,0),VLOOKUP(D937,Menu!$A$2:$F$105,5,0),VLOOKUP(D937,Menu!$A$2:$F$105,6,0)),"N/A"))</f>
        <v>99</v>
      </c>
      <c r="H937" s="19">
        <f t="shared" si="2"/>
        <v>99</v>
      </c>
      <c r="I937" s="19">
        <f t="shared" si="4"/>
        <v>2342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8">
        <v>45312.0</v>
      </c>
      <c r="B938" s="19" t="str">
        <f t="shared" si="1"/>
        <v>Sunday</v>
      </c>
      <c r="C938" s="19" t="str">
        <f>IF(D938="","",VLOOKUP(D938,Menu!$A$2:$B$105,2,0))</f>
        <v>Pizza</v>
      </c>
      <c r="D938" s="19" t="s">
        <v>11</v>
      </c>
      <c r="E938" s="19" t="s">
        <v>3</v>
      </c>
      <c r="F938" s="19">
        <v>1.0</v>
      </c>
      <c r="G938" s="19">
        <f t="array" ref="G938">IF(OR(D938="",E938=""),"",IFERROR(CHOOSE(MATCH(E938,{"S","M","L","-"},0),VLOOKUP(D938,Menu!$A$2:$F$105,3,0),VLOOKUP(D938,Menu!$A$2:$F$105,4,0),VLOOKUP(D938,Menu!$A$2:$F$105,5,0),VLOOKUP(D938,Menu!$A$2:$F$105,6,0)),"N/A"))</f>
        <v>109</v>
      </c>
      <c r="H938" s="19">
        <f t="shared" si="2"/>
        <v>109</v>
      </c>
      <c r="I938" s="19">
        <f t="shared" si="4"/>
        <v>2342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8">
        <v>45312.0</v>
      </c>
      <c r="B939" s="19" t="str">
        <f t="shared" si="1"/>
        <v>Sunday</v>
      </c>
      <c r="C939" s="19" t="str">
        <f>IF(D939="","",VLOOKUP(D939,Menu!$A$2:$B$105,2,0))</f>
        <v>Pizza</v>
      </c>
      <c r="D939" s="19" t="s">
        <v>8</v>
      </c>
      <c r="E939" s="19" t="s">
        <v>3</v>
      </c>
      <c r="F939" s="19">
        <v>1.0</v>
      </c>
      <c r="G939" s="19">
        <f t="array" ref="G939">IF(OR(D939="",E939=""),"",IFERROR(CHOOSE(MATCH(E939,{"S","M","L","-"},0),VLOOKUP(D939,Menu!$A$2:$F$105,3,0),VLOOKUP(D939,Menu!$A$2:$F$105,4,0),VLOOKUP(D939,Menu!$A$2:$F$105,5,0),VLOOKUP(D939,Menu!$A$2:$F$105,6,0)),"N/A"))</f>
        <v>109</v>
      </c>
      <c r="H939" s="19">
        <f t="shared" si="2"/>
        <v>109</v>
      </c>
      <c r="I939" s="19">
        <f t="shared" si="4"/>
        <v>2342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8">
        <v>45312.0</v>
      </c>
      <c r="B940" s="19" t="str">
        <f t="shared" si="1"/>
        <v>Sunday</v>
      </c>
      <c r="C940" s="19" t="str">
        <f>IF(D940="","",VLOOKUP(D940,Menu!$A$2:$B$105,2,0))</f>
        <v>Pizza</v>
      </c>
      <c r="D940" s="19" t="s">
        <v>20</v>
      </c>
      <c r="E940" s="19" t="s">
        <v>4</v>
      </c>
      <c r="F940" s="19">
        <v>1.0</v>
      </c>
      <c r="G940" s="19">
        <f t="array" ref="G940">IF(OR(D940="",E940=""),"",IFERROR(CHOOSE(MATCH(E940,{"S","M","L","-"},0),VLOOKUP(D940,Menu!$A$2:$F$105,3,0),VLOOKUP(D940,Menu!$A$2:$F$105,4,0),VLOOKUP(D940,Menu!$A$2:$F$105,5,0),VLOOKUP(D940,Menu!$A$2:$F$105,6,0)),"N/A"))</f>
        <v>299</v>
      </c>
      <c r="H940" s="19">
        <f t="shared" si="2"/>
        <v>299</v>
      </c>
      <c r="I940" s="19">
        <f t="shared" si="4"/>
        <v>2342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8">
        <v>45312.0</v>
      </c>
      <c r="B941" s="19" t="str">
        <f t="shared" si="1"/>
        <v>Sunday</v>
      </c>
      <c r="C941" s="19" t="str">
        <f>IF(D941="","",VLOOKUP(D941,Menu!$A$2:$B$105,2,0))</f>
        <v>Pizza</v>
      </c>
      <c r="D941" s="19" t="s">
        <v>6</v>
      </c>
      <c r="E941" s="19" t="s">
        <v>2</v>
      </c>
      <c r="F941" s="19">
        <v>1.0</v>
      </c>
      <c r="G941" s="19">
        <f t="array" ref="G941">IF(OR(D941="",E941=""),"",IFERROR(CHOOSE(MATCH(E941,{"S","M","L","-"},0),VLOOKUP(D941,Menu!$A$2:$F$105,3,0),VLOOKUP(D941,Menu!$A$2:$F$105,4,0),VLOOKUP(D941,Menu!$A$2:$F$105,5,0),VLOOKUP(D941,Menu!$A$2:$F$105,6,0)),"N/A"))</f>
        <v>49</v>
      </c>
      <c r="H941" s="19">
        <f t="shared" si="2"/>
        <v>49</v>
      </c>
      <c r="I941" s="19">
        <f t="shared" si="4"/>
        <v>2342</v>
      </c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8">
        <v>45312.0</v>
      </c>
      <c r="B942" s="19" t="str">
        <f t="shared" si="1"/>
        <v>Sunday</v>
      </c>
      <c r="C942" s="19" t="str">
        <f>IF(D942="","",VLOOKUP(D942,Menu!$A$2:$B$105,2,0))</f>
        <v>Pizza</v>
      </c>
      <c r="D942" s="19" t="s">
        <v>15</v>
      </c>
      <c r="E942" s="19" t="s">
        <v>3</v>
      </c>
      <c r="F942" s="19">
        <v>1.0</v>
      </c>
      <c r="G942" s="19">
        <f t="array" ref="G942">IF(OR(D942="",E942=""),"",IFERROR(CHOOSE(MATCH(E942,{"S","M","L","-"},0),VLOOKUP(D942,Menu!$A$2:$F$105,3,0),VLOOKUP(D942,Menu!$A$2:$F$105,4,0),VLOOKUP(D942,Menu!$A$2:$F$105,5,0),VLOOKUP(D942,Menu!$A$2:$F$105,6,0)),"N/A"))</f>
        <v>149</v>
      </c>
      <c r="H942" s="19">
        <f t="shared" si="2"/>
        <v>149</v>
      </c>
      <c r="I942" s="19">
        <f t="shared" si="4"/>
        <v>2342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8">
        <v>45312.0</v>
      </c>
      <c r="B943" s="19" t="str">
        <f t="shared" si="1"/>
        <v>Sunday</v>
      </c>
      <c r="C943" s="19" t="str">
        <f>IF(D943="","",VLOOKUP(D943,Menu!$A$2:$B$105,2,0))</f>
        <v>Pizza</v>
      </c>
      <c r="D943" s="19" t="s">
        <v>15</v>
      </c>
      <c r="E943" s="19" t="s">
        <v>2</v>
      </c>
      <c r="F943" s="19">
        <v>1.0</v>
      </c>
      <c r="G943" s="19">
        <f t="array" ref="G943">IF(OR(D943="",E943=""),"",IFERROR(CHOOSE(MATCH(E943,{"S","M","L","-"},0),VLOOKUP(D943,Menu!$A$2:$F$105,3,0),VLOOKUP(D943,Menu!$A$2:$F$105,4,0),VLOOKUP(D943,Menu!$A$2:$F$105,5,0),VLOOKUP(D943,Menu!$A$2:$F$105,6,0)),"N/A"))</f>
        <v>99</v>
      </c>
      <c r="H943" s="19">
        <f t="shared" si="2"/>
        <v>99</v>
      </c>
      <c r="I943" s="19">
        <f t="shared" si="4"/>
        <v>2342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8">
        <v>45312.0</v>
      </c>
      <c r="B944" s="19" t="str">
        <f t="shared" si="1"/>
        <v>Sunday</v>
      </c>
      <c r="C944" s="19" t="str">
        <f>IF(D944="","",VLOOKUP(D944,Menu!$A$2:$B$105,2,0))</f>
        <v>Pizza</v>
      </c>
      <c r="D944" s="19" t="s">
        <v>16</v>
      </c>
      <c r="E944" s="19" t="s">
        <v>2</v>
      </c>
      <c r="F944" s="19">
        <v>1.0</v>
      </c>
      <c r="G944" s="19">
        <f t="array" ref="G944">IF(OR(D944="",E944=""),"",IFERROR(CHOOSE(MATCH(E944,{"S","M","L","-"},0),VLOOKUP(D944,Menu!$A$2:$F$105,3,0),VLOOKUP(D944,Menu!$A$2:$F$105,4,0),VLOOKUP(D944,Menu!$A$2:$F$105,5,0),VLOOKUP(D944,Menu!$A$2:$F$105,6,0)),"N/A"))</f>
        <v>109</v>
      </c>
      <c r="H944" s="19">
        <f t="shared" si="2"/>
        <v>109</v>
      </c>
      <c r="I944" s="19">
        <f t="shared" si="4"/>
        <v>2342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8">
        <v>45312.0</v>
      </c>
      <c r="B945" s="19" t="str">
        <f t="shared" si="1"/>
        <v>Sunday</v>
      </c>
      <c r="C945" s="19" t="str">
        <f>IF(D945="","",VLOOKUP(D945,Menu!$A$2:$B$105,2,0))</f>
        <v>Pizza</v>
      </c>
      <c r="D945" s="19" t="s">
        <v>12</v>
      </c>
      <c r="E945" s="19" t="s">
        <v>4</v>
      </c>
      <c r="F945" s="19">
        <v>1.0</v>
      </c>
      <c r="G945" s="19">
        <f t="array" ref="G945">IF(OR(D945="",E945=""),"",IFERROR(CHOOSE(MATCH(E945,{"S","M","L","-"},0),VLOOKUP(D945,Menu!$A$2:$F$105,3,0),VLOOKUP(D945,Menu!$A$2:$F$105,4,0),VLOOKUP(D945,Menu!$A$2:$F$105,5,0),VLOOKUP(D945,Menu!$A$2:$F$105,6,0)),"N/A"))</f>
        <v>209</v>
      </c>
      <c r="H945" s="19">
        <f t="shared" si="2"/>
        <v>209</v>
      </c>
      <c r="I945" s="19">
        <f t="shared" si="4"/>
        <v>2342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8">
        <v>45312.0</v>
      </c>
      <c r="B946" s="19" t="str">
        <f t="shared" si="1"/>
        <v>Sunday</v>
      </c>
      <c r="C946" s="19" t="str">
        <f>IF(D946="","",VLOOKUP(D946,Menu!$A$2:$B$105,2,0))</f>
        <v>Pizza</v>
      </c>
      <c r="D946" s="19" t="s">
        <v>14</v>
      </c>
      <c r="E946" s="19" t="s">
        <v>3</v>
      </c>
      <c r="F946" s="19">
        <v>1.0</v>
      </c>
      <c r="G946" s="19">
        <f t="array" ref="G946">IF(OR(D946="",E946=""),"",IFERROR(CHOOSE(MATCH(E946,{"S","M","L","-"},0),VLOOKUP(D946,Menu!$A$2:$F$105,3,0),VLOOKUP(D946,Menu!$A$2:$F$105,4,0),VLOOKUP(D946,Menu!$A$2:$F$105,5,0),VLOOKUP(D946,Menu!$A$2:$F$105,6,0)),"N/A"))</f>
        <v>129</v>
      </c>
      <c r="H946" s="19">
        <f t="shared" si="2"/>
        <v>129</v>
      </c>
      <c r="I946" s="19">
        <f t="shared" si="4"/>
        <v>2342</v>
      </c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8">
        <v>45312.0</v>
      </c>
      <c r="B947" s="19" t="str">
        <f t="shared" si="1"/>
        <v>Sunday</v>
      </c>
      <c r="C947" s="19" t="str">
        <f>IF(D947="","",VLOOKUP(D947,Menu!$A$2:$B$105,2,0))</f>
        <v>Pizza</v>
      </c>
      <c r="D947" s="19" t="s">
        <v>11</v>
      </c>
      <c r="E947" s="19" t="s">
        <v>4</v>
      </c>
      <c r="F947" s="19">
        <v>1.0</v>
      </c>
      <c r="G947" s="19">
        <f t="array" ref="G947">IF(OR(D947="",E947=""),"",IFERROR(CHOOSE(MATCH(E947,{"S","M","L","-"},0),VLOOKUP(D947,Menu!$A$2:$F$105,3,0),VLOOKUP(D947,Menu!$A$2:$F$105,4,0),VLOOKUP(D947,Menu!$A$2:$F$105,5,0),VLOOKUP(D947,Menu!$A$2:$F$105,6,0)),"N/A"))</f>
        <v>209</v>
      </c>
      <c r="H947" s="19">
        <f t="shared" si="2"/>
        <v>209</v>
      </c>
      <c r="I947" s="19">
        <f t="shared" si="4"/>
        <v>2342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8">
        <v>45312.0</v>
      </c>
      <c r="B948" s="19" t="str">
        <f t="shared" si="1"/>
        <v>Sunday</v>
      </c>
      <c r="C948" s="19" t="str">
        <f>IF(D948="","",VLOOKUP(D948,Menu!$A$2:$B$105,2,0))</f>
        <v>Pizza</v>
      </c>
      <c r="D948" s="19" t="s">
        <v>21</v>
      </c>
      <c r="E948" s="19" t="s">
        <v>2</v>
      </c>
      <c r="F948" s="19">
        <v>1.0</v>
      </c>
      <c r="G948" s="19">
        <f t="array" ref="G948">IF(OR(D948="",E948=""),"",IFERROR(CHOOSE(MATCH(E948,{"S","M","L","-"},0),VLOOKUP(D948,Menu!$A$2:$F$105,3,0),VLOOKUP(D948,Menu!$A$2:$F$105,4,0),VLOOKUP(D948,Menu!$A$2:$F$105,5,0),VLOOKUP(D948,Menu!$A$2:$F$105,6,0)),"N/A"))</f>
        <v>119</v>
      </c>
      <c r="H948" s="19">
        <f t="shared" si="2"/>
        <v>119</v>
      </c>
      <c r="I948" s="19">
        <f t="shared" si="4"/>
        <v>2342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8">
        <v>45312.0</v>
      </c>
      <c r="B949" s="19" t="str">
        <f t="shared" si="1"/>
        <v>Sunday</v>
      </c>
      <c r="C949" s="19" t="str">
        <f>IF(D949="","",VLOOKUP(D949,Menu!$A$2:$B$105,2,0))</f>
        <v>Pizza</v>
      </c>
      <c r="D949" s="19" t="s">
        <v>8</v>
      </c>
      <c r="E949" s="19" t="s">
        <v>2</v>
      </c>
      <c r="F949" s="19">
        <v>3.0</v>
      </c>
      <c r="G949" s="19">
        <f t="array" ref="G949">IF(OR(D949="",E949=""),"",IFERROR(CHOOSE(MATCH(E949,{"S","M","L","-"},0),VLOOKUP(D949,Menu!$A$2:$F$105,3,0),VLOOKUP(D949,Menu!$A$2:$F$105,4,0),VLOOKUP(D949,Menu!$A$2:$F$105,5,0),VLOOKUP(D949,Menu!$A$2:$F$105,6,0)),"N/A"))</f>
        <v>59</v>
      </c>
      <c r="H949" s="19">
        <f t="shared" si="2"/>
        <v>177</v>
      </c>
      <c r="I949" s="19">
        <f t="shared" si="4"/>
        <v>2342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8">
        <v>45312.0</v>
      </c>
      <c r="B950" s="19" t="str">
        <f t="shared" si="1"/>
        <v>Sunday</v>
      </c>
      <c r="C950" s="19" t="str">
        <f>IF(D950="","",VLOOKUP(D950,Menu!$A$2:$B$105,2,0))</f>
        <v>Pizza</v>
      </c>
      <c r="D950" s="19" t="s">
        <v>13</v>
      </c>
      <c r="E950" s="19" t="s">
        <v>4</v>
      </c>
      <c r="F950" s="19">
        <v>2.0</v>
      </c>
      <c r="G950" s="19">
        <f t="array" ref="G950">IF(OR(D950="",E950=""),"",IFERROR(CHOOSE(MATCH(E950,{"S","M","L","-"},0),VLOOKUP(D950,Menu!$A$2:$F$105,3,0),VLOOKUP(D950,Menu!$A$2:$F$105,4,0),VLOOKUP(D950,Menu!$A$2:$F$105,5,0),VLOOKUP(D950,Menu!$A$2:$F$105,6,0)),"N/A"))</f>
        <v>209</v>
      </c>
      <c r="H950" s="19">
        <f t="shared" si="2"/>
        <v>418</v>
      </c>
      <c r="I950" s="19">
        <f t="shared" si="4"/>
        <v>2342</v>
      </c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6">
        <v>45313.0</v>
      </c>
      <c r="B951" s="17" t="str">
        <f t="shared" si="1"/>
        <v>Monday</v>
      </c>
      <c r="C951" s="17" t="str">
        <f>IF(D951="","",VLOOKUP(D951,Menu!$A$2:$B$105,2,0))</f>
        <v>Pizza</v>
      </c>
      <c r="D951" s="17" t="s">
        <v>10</v>
      </c>
      <c r="E951" s="17" t="s">
        <v>2</v>
      </c>
      <c r="F951" s="17">
        <v>1.0</v>
      </c>
      <c r="G951" s="17">
        <f t="array" ref="G951">IF(OR(D951="",E951=""),"",IFERROR(CHOOSE(MATCH(E951,{"S","M","L","-"},0),VLOOKUP(D951,Menu!$A$2:$F$105,3,0),VLOOKUP(D951,Menu!$A$2:$F$105,4,0),VLOOKUP(D951,Menu!$A$2:$F$105,5,0),VLOOKUP(D951,Menu!$A$2:$F$105,6,0)),"N/A"))</f>
        <v>59</v>
      </c>
      <c r="H951" s="17">
        <f t="shared" si="2"/>
        <v>59</v>
      </c>
      <c r="I951" s="17">
        <f t="shared" si="4"/>
        <v>257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6">
        <v>45313.0</v>
      </c>
      <c r="B952" s="17" t="str">
        <f t="shared" si="1"/>
        <v>Monday</v>
      </c>
      <c r="C952" s="17" t="str">
        <f>IF(D952="","",VLOOKUP(D952,Menu!$A$2:$B$105,2,0))</f>
        <v>Pizza</v>
      </c>
      <c r="D952" s="17" t="s">
        <v>26</v>
      </c>
      <c r="E952" s="17" t="s">
        <v>5</v>
      </c>
      <c r="F952" s="17">
        <v>2.0</v>
      </c>
      <c r="G952" s="17">
        <f t="array" ref="G952">IF(OR(D952="",E952=""),"",IFERROR(CHOOSE(MATCH(E952,{"S","M","L","-"},0),VLOOKUP(D952,Menu!$A$2:$F$105,3,0),VLOOKUP(D952,Menu!$A$2:$F$105,4,0),VLOOKUP(D952,Menu!$A$2:$F$105,5,0),VLOOKUP(D952,Menu!$A$2:$F$105,6,0)),"N/A"))</f>
        <v>99</v>
      </c>
      <c r="H952" s="17">
        <f t="shared" si="2"/>
        <v>198</v>
      </c>
      <c r="I952" s="17">
        <f t="shared" si="4"/>
        <v>257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8">
        <v>45315.0</v>
      </c>
      <c r="B953" s="19" t="str">
        <f t="shared" si="1"/>
        <v>Wednesday</v>
      </c>
      <c r="C953" s="19" t="str">
        <f>IF(D953="","",VLOOKUP(D953,Menu!$A$2:$B$105,2,0))</f>
        <v>Pizza</v>
      </c>
      <c r="D953" s="19" t="s">
        <v>6</v>
      </c>
      <c r="E953" s="19" t="s">
        <v>2</v>
      </c>
      <c r="F953" s="19">
        <v>1.0</v>
      </c>
      <c r="G953" s="19">
        <f t="array" ref="G953">IF(OR(D953="",E953=""),"",IFERROR(CHOOSE(MATCH(E953,{"S","M","L","-"},0),VLOOKUP(D953,Menu!$A$2:$F$105,3,0),VLOOKUP(D953,Menu!$A$2:$F$105,4,0),VLOOKUP(D953,Menu!$A$2:$F$105,5,0),VLOOKUP(D953,Menu!$A$2:$F$105,6,0)),"N/A"))</f>
        <v>49</v>
      </c>
      <c r="H953" s="19">
        <f t="shared" si="2"/>
        <v>49</v>
      </c>
      <c r="I953" s="19">
        <f t="shared" si="4"/>
        <v>653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8">
        <v>45315.0</v>
      </c>
      <c r="B954" s="19" t="str">
        <f t="shared" si="1"/>
        <v>Wednesday</v>
      </c>
      <c r="C954" s="19" t="str">
        <f>IF(D954="","",VLOOKUP(D954,Menu!$A$2:$B$105,2,0))</f>
        <v>Combo</v>
      </c>
      <c r="D954" s="19" t="s">
        <v>57</v>
      </c>
      <c r="E954" s="19" t="s">
        <v>5</v>
      </c>
      <c r="F954" s="19">
        <v>2.0</v>
      </c>
      <c r="G954" s="19">
        <f t="array" ref="G954">IF(OR(D954="",E954=""),"",IFERROR(CHOOSE(MATCH(E954,{"S","M","L","-"},0),VLOOKUP(D954,Menu!$A$2:$F$105,3,0),VLOOKUP(D954,Menu!$A$2:$F$105,4,0),VLOOKUP(D954,Menu!$A$2:$F$105,5,0),VLOOKUP(D954,Menu!$A$2:$F$105,6,0)),"N/A"))</f>
        <v>149</v>
      </c>
      <c r="H954" s="19">
        <f t="shared" si="2"/>
        <v>298</v>
      </c>
      <c r="I954" s="19">
        <f t="shared" si="4"/>
        <v>653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8">
        <v>45315.0</v>
      </c>
      <c r="B955" s="19" t="str">
        <f t="shared" si="1"/>
        <v>Wednesday</v>
      </c>
      <c r="C955" s="19" t="str">
        <f>IF(D955="","",VLOOKUP(D955,Menu!$A$2:$B$105,2,0))</f>
        <v>Pizza</v>
      </c>
      <c r="D955" s="19" t="s">
        <v>8</v>
      </c>
      <c r="E955" s="19" t="s">
        <v>2</v>
      </c>
      <c r="F955" s="19">
        <v>3.0</v>
      </c>
      <c r="G955" s="19">
        <f t="array" ref="G955">IF(OR(D955="",E955=""),"",IFERROR(CHOOSE(MATCH(E955,{"S","M","L","-"},0),VLOOKUP(D955,Menu!$A$2:$F$105,3,0),VLOOKUP(D955,Menu!$A$2:$F$105,4,0),VLOOKUP(D955,Menu!$A$2:$F$105,5,0),VLOOKUP(D955,Menu!$A$2:$F$105,6,0)),"N/A"))</f>
        <v>59</v>
      </c>
      <c r="H955" s="19">
        <f t="shared" si="2"/>
        <v>177</v>
      </c>
      <c r="I955" s="19">
        <f t="shared" si="4"/>
        <v>653</v>
      </c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8">
        <v>45315.0</v>
      </c>
      <c r="B956" s="19" t="str">
        <f t="shared" si="1"/>
        <v>Wednesday</v>
      </c>
      <c r="C956" s="19" t="str">
        <f>IF(D956="","",VLOOKUP(D956,Menu!$A$2:$B$105,2,0))</f>
        <v>Pizza</v>
      </c>
      <c r="D956" s="19" t="s">
        <v>13</v>
      </c>
      <c r="E956" s="19" t="s">
        <v>3</v>
      </c>
      <c r="F956" s="19">
        <v>1.0</v>
      </c>
      <c r="G956" s="19">
        <f t="array" ref="G956">IF(OR(D956="",E956=""),"",IFERROR(CHOOSE(MATCH(E956,{"S","M","L","-"},0),VLOOKUP(D956,Menu!$A$2:$F$105,3,0),VLOOKUP(D956,Menu!$A$2:$F$105,4,0),VLOOKUP(D956,Menu!$A$2:$F$105,5,0),VLOOKUP(D956,Menu!$A$2:$F$105,6,0)),"N/A"))</f>
        <v>129</v>
      </c>
      <c r="H956" s="19">
        <f t="shared" si="2"/>
        <v>129</v>
      </c>
      <c r="I956" s="19">
        <f t="shared" si="4"/>
        <v>653</v>
      </c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6">
        <v>45316.0</v>
      </c>
      <c r="B957" s="17" t="str">
        <f t="shared" si="1"/>
        <v>Thursday</v>
      </c>
      <c r="C957" s="17" t="str">
        <f>IF(D957="","",VLOOKUP(D957,Menu!$A$2:$B$105,2,0))</f>
        <v>Pizza</v>
      </c>
      <c r="D957" s="17" t="s">
        <v>20</v>
      </c>
      <c r="E957" s="17" t="s">
        <v>3</v>
      </c>
      <c r="F957" s="17">
        <v>1.0</v>
      </c>
      <c r="G957" s="17">
        <f t="array" ref="G957">IF(OR(D957="",E957=""),"",IFERROR(CHOOSE(MATCH(E957,{"S","M","L","-"},0),VLOOKUP(D957,Menu!$A$2:$F$105,3,0),VLOOKUP(D957,Menu!$A$2:$F$105,4,0),VLOOKUP(D957,Menu!$A$2:$F$105,5,0),VLOOKUP(D957,Menu!$A$2:$F$105,6,0)),"N/A"))</f>
        <v>199</v>
      </c>
      <c r="H957" s="17">
        <f t="shared" si="2"/>
        <v>199</v>
      </c>
      <c r="I957" s="17">
        <f t="shared" si="4"/>
        <v>1458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6">
        <v>45316.0</v>
      </c>
      <c r="B958" s="17" t="str">
        <f t="shared" si="1"/>
        <v>Thursday</v>
      </c>
      <c r="C958" s="17" t="str">
        <f>IF(D958="","",VLOOKUP(D958,Menu!$A$2:$B$105,2,0))</f>
        <v>Burger</v>
      </c>
      <c r="D958" s="17" t="s">
        <v>27</v>
      </c>
      <c r="E958" s="17" t="s">
        <v>5</v>
      </c>
      <c r="F958" s="17">
        <v>3.0</v>
      </c>
      <c r="G958" s="17">
        <f t="array" ref="G958">IF(OR(D958="",E958=""),"",IFERROR(CHOOSE(MATCH(E958,{"S","M","L","-"},0),VLOOKUP(D958,Menu!$A$2:$F$105,3,0),VLOOKUP(D958,Menu!$A$2:$F$105,4,0),VLOOKUP(D958,Menu!$A$2:$F$105,5,0),VLOOKUP(D958,Menu!$A$2:$F$105,6,0)),"N/A"))</f>
        <v>39</v>
      </c>
      <c r="H958" s="17">
        <f t="shared" si="2"/>
        <v>117</v>
      </c>
      <c r="I958" s="17">
        <f t="shared" si="4"/>
        <v>1458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6">
        <v>45316.0</v>
      </c>
      <c r="B959" s="17" t="str">
        <f t="shared" si="1"/>
        <v>Thursday</v>
      </c>
      <c r="C959" s="17" t="str">
        <f>IF(D959="","",VLOOKUP(D959,Menu!$A$2:$B$105,2,0))</f>
        <v>Shake</v>
      </c>
      <c r="D959" s="17" t="s">
        <v>45</v>
      </c>
      <c r="E959" s="17" t="s">
        <v>5</v>
      </c>
      <c r="F959" s="17">
        <v>2.0</v>
      </c>
      <c r="G959" s="17">
        <f t="array" ref="G959">IF(OR(D959="",E959=""),"",IFERROR(CHOOSE(MATCH(E959,{"S","M","L","-"},0),VLOOKUP(D959,Menu!$A$2:$F$105,3,0),VLOOKUP(D959,Menu!$A$2:$F$105,4,0),VLOOKUP(D959,Menu!$A$2:$F$105,5,0),VLOOKUP(D959,Menu!$A$2:$F$105,6,0)),"N/A"))</f>
        <v>50</v>
      </c>
      <c r="H959" s="17">
        <f t="shared" si="2"/>
        <v>100</v>
      </c>
      <c r="I959" s="17">
        <f t="shared" si="4"/>
        <v>1458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6">
        <v>45316.0</v>
      </c>
      <c r="B960" s="17" t="str">
        <f t="shared" si="1"/>
        <v>Thursday</v>
      </c>
      <c r="C960" s="17" t="str">
        <f>IF(D960="","",VLOOKUP(D960,Menu!$A$2:$B$105,2,0))</f>
        <v>Pizza</v>
      </c>
      <c r="D960" s="17" t="s">
        <v>8</v>
      </c>
      <c r="E960" s="17" t="s">
        <v>3</v>
      </c>
      <c r="F960" s="17">
        <v>1.0</v>
      </c>
      <c r="G960" s="17">
        <f t="array" ref="G960">IF(OR(D960="",E960=""),"",IFERROR(CHOOSE(MATCH(E960,{"S","M","L","-"},0),VLOOKUP(D960,Menu!$A$2:$F$105,3,0),VLOOKUP(D960,Menu!$A$2:$F$105,4,0),VLOOKUP(D960,Menu!$A$2:$F$105,5,0),VLOOKUP(D960,Menu!$A$2:$F$105,6,0)),"N/A"))</f>
        <v>109</v>
      </c>
      <c r="H960" s="17">
        <f t="shared" si="2"/>
        <v>109</v>
      </c>
      <c r="I960" s="17">
        <f t="shared" si="4"/>
        <v>1458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6">
        <v>45316.0</v>
      </c>
      <c r="B961" s="17" t="str">
        <f t="shared" si="1"/>
        <v>Thursday</v>
      </c>
      <c r="C961" s="17" t="str">
        <f>IF(D961="","",VLOOKUP(D961,Menu!$A$2:$B$105,2,0))</f>
        <v>Pizza</v>
      </c>
      <c r="D961" s="17" t="s">
        <v>20</v>
      </c>
      <c r="E961" s="17" t="s">
        <v>2</v>
      </c>
      <c r="F961" s="17">
        <v>1.0</v>
      </c>
      <c r="G961" s="17">
        <f t="array" ref="G961">IF(OR(D961="",E961=""),"",IFERROR(CHOOSE(MATCH(E961,{"S","M","L","-"},0),VLOOKUP(D961,Menu!$A$2:$F$105,3,0),VLOOKUP(D961,Menu!$A$2:$F$105,4,0),VLOOKUP(D961,Menu!$A$2:$F$105,5,0),VLOOKUP(D961,Menu!$A$2:$F$105,6,0)),"N/A"))</f>
        <v>119</v>
      </c>
      <c r="H961" s="17">
        <f t="shared" si="2"/>
        <v>119</v>
      </c>
      <c r="I961" s="17">
        <f t="shared" si="4"/>
        <v>1458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6">
        <v>45316.0</v>
      </c>
      <c r="B962" s="17" t="str">
        <f t="shared" si="1"/>
        <v>Thursday</v>
      </c>
      <c r="C962" s="17" t="str">
        <f>IF(D962="","",VLOOKUP(D962,Menu!$A$2:$B$105,2,0))</f>
        <v>Pizza</v>
      </c>
      <c r="D962" s="17" t="s">
        <v>20</v>
      </c>
      <c r="E962" s="17" t="s">
        <v>4</v>
      </c>
      <c r="F962" s="17">
        <v>1.0</v>
      </c>
      <c r="G962" s="17">
        <f t="array" ref="G962">IF(OR(D962="",E962=""),"",IFERROR(CHOOSE(MATCH(E962,{"S","M","L","-"},0),VLOOKUP(D962,Menu!$A$2:$F$105,3,0),VLOOKUP(D962,Menu!$A$2:$F$105,4,0),VLOOKUP(D962,Menu!$A$2:$F$105,5,0),VLOOKUP(D962,Menu!$A$2:$F$105,6,0)),"N/A"))</f>
        <v>299</v>
      </c>
      <c r="H962" s="17">
        <f t="shared" si="2"/>
        <v>299</v>
      </c>
      <c r="I962" s="17">
        <f t="shared" si="4"/>
        <v>1458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6">
        <v>45316.0</v>
      </c>
      <c r="B963" s="17" t="str">
        <f t="shared" si="1"/>
        <v>Thursday</v>
      </c>
      <c r="C963" s="17" t="str">
        <f>IF(D963="","",VLOOKUP(D963,Menu!$A$2:$B$105,2,0))</f>
        <v>Pizza</v>
      </c>
      <c r="D963" s="17" t="s">
        <v>21</v>
      </c>
      <c r="E963" s="17" t="s">
        <v>3</v>
      </c>
      <c r="F963" s="17">
        <v>1.0</v>
      </c>
      <c r="G963" s="17">
        <f t="array" ref="G963">IF(OR(D963="",E963=""),"",IFERROR(CHOOSE(MATCH(E963,{"S","M","L","-"},0),VLOOKUP(D963,Menu!$A$2:$F$105,3,0),VLOOKUP(D963,Menu!$A$2:$F$105,4,0),VLOOKUP(D963,Menu!$A$2:$F$105,5,0),VLOOKUP(D963,Menu!$A$2:$F$105,6,0)),"N/A"))</f>
        <v>209</v>
      </c>
      <c r="H963" s="17">
        <f t="shared" si="2"/>
        <v>209</v>
      </c>
      <c r="I963" s="17">
        <f t="shared" si="4"/>
        <v>1458</v>
      </c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6">
        <v>45316.0</v>
      </c>
      <c r="B964" s="17" t="str">
        <f t="shared" si="1"/>
        <v>Thursday</v>
      </c>
      <c r="C964" s="17" t="str">
        <f>IF(D964="","",VLOOKUP(D964,Menu!$A$2:$B$105,2,0))</f>
        <v>Pizza</v>
      </c>
      <c r="D964" s="17" t="s">
        <v>26</v>
      </c>
      <c r="E964" s="17" t="s">
        <v>5</v>
      </c>
      <c r="F964" s="17">
        <v>1.0</v>
      </c>
      <c r="G964" s="17">
        <f t="array" ref="G964">IF(OR(D964="",E964=""),"",IFERROR(CHOOSE(MATCH(E964,{"S","M","L","-"},0),VLOOKUP(D964,Menu!$A$2:$F$105,3,0),VLOOKUP(D964,Menu!$A$2:$F$105,4,0),VLOOKUP(D964,Menu!$A$2:$F$105,5,0),VLOOKUP(D964,Menu!$A$2:$F$105,6,0)),"N/A"))</f>
        <v>99</v>
      </c>
      <c r="H964" s="17">
        <f t="shared" si="2"/>
        <v>99</v>
      </c>
      <c r="I964" s="17">
        <f t="shared" si="4"/>
        <v>1458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6">
        <v>45316.0</v>
      </c>
      <c r="B965" s="17" t="str">
        <f t="shared" si="1"/>
        <v>Thursday</v>
      </c>
      <c r="C965" s="17" t="str">
        <f>IF(D965="","",VLOOKUP(D965,Menu!$A$2:$B$105,2,0))</f>
        <v>Pizza</v>
      </c>
      <c r="D965" s="17" t="s">
        <v>6</v>
      </c>
      <c r="E965" s="17" t="s">
        <v>2</v>
      </c>
      <c r="F965" s="17">
        <v>2.0</v>
      </c>
      <c r="G965" s="17">
        <f t="array" ref="G965">IF(OR(D965="",E965=""),"",IFERROR(CHOOSE(MATCH(E965,{"S","M","L","-"},0),VLOOKUP(D965,Menu!$A$2:$F$105,3,0),VLOOKUP(D965,Menu!$A$2:$F$105,4,0),VLOOKUP(D965,Menu!$A$2:$F$105,5,0),VLOOKUP(D965,Menu!$A$2:$F$105,6,0)),"N/A"))</f>
        <v>49</v>
      </c>
      <c r="H965" s="17">
        <f t="shared" si="2"/>
        <v>98</v>
      </c>
      <c r="I965" s="17">
        <f t="shared" si="4"/>
        <v>1458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6">
        <v>45316.0</v>
      </c>
      <c r="B966" s="17" t="str">
        <f t="shared" si="1"/>
        <v>Thursday</v>
      </c>
      <c r="C966" s="17" t="str">
        <f>IF(D966="","",VLOOKUP(D966,Menu!$A$2:$B$105,2,0))</f>
        <v>Pizza</v>
      </c>
      <c r="D966" s="17" t="s">
        <v>17</v>
      </c>
      <c r="E966" s="17" t="s">
        <v>2</v>
      </c>
      <c r="F966" s="17">
        <v>1.0</v>
      </c>
      <c r="G966" s="17">
        <f t="array" ref="G966">IF(OR(D966="",E966=""),"",IFERROR(CHOOSE(MATCH(E966,{"S","M","L","-"},0),VLOOKUP(D966,Menu!$A$2:$F$105,3,0),VLOOKUP(D966,Menu!$A$2:$F$105,4,0),VLOOKUP(D966,Menu!$A$2:$F$105,5,0),VLOOKUP(D966,Menu!$A$2:$F$105,6,0)),"N/A"))</f>
        <v>109</v>
      </c>
      <c r="H966" s="17">
        <f t="shared" si="2"/>
        <v>109</v>
      </c>
      <c r="I966" s="17">
        <f t="shared" si="4"/>
        <v>1458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8">
        <v>45317.0</v>
      </c>
      <c r="B967" s="19" t="str">
        <f t="shared" si="1"/>
        <v>Friday</v>
      </c>
      <c r="C967" s="19" t="str">
        <f>IF(D967="","",VLOOKUP(D967,Menu!$A$2:$B$105,2,0))</f>
        <v>Pizza</v>
      </c>
      <c r="D967" s="19" t="s">
        <v>20</v>
      </c>
      <c r="E967" s="19" t="s">
        <v>3</v>
      </c>
      <c r="F967" s="19">
        <v>1.0</v>
      </c>
      <c r="G967" s="19">
        <f t="array" ref="G967">IF(OR(D967="",E967=""),"",IFERROR(CHOOSE(MATCH(E967,{"S","M","L","-"},0),VLOOKUP(D967,Menu!$A$2:$F$105,3,0),VLOOKUP(D967,Menu!$A$2:$F$105,4,0),VLOOKUP(D967,Menu!$A$2:$F$105,5,0),VLOOKUP(D967,Menu!$A$2:$F$105,6,0)),"N/A"))</f>
        <v>199</v>
      </c>
      <c r="H967" s="19">
        <f t="shared" si="2"/>
        <v>199</v>
      </c>
      <c r="I967" s="19">
        <f t="shared" si="4"/>
        <v>1886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8">
        <v>45317.0</v>
      </c>
      <c r="B968" s="19" t="str">
        <f t="shared" si="1"/>
        <v>Friday</v>
      </c>
      <c r="C968" s="19" t="str">
        <f>IF(D968="","",VLOOKUP(D968,Menu!$A$2:$B$105,2,0))</f>
        <v>Pizza</v>
      </c>
      <c r="D968" s="19" t="s">
        <v>26</v>
      </c>
      <c r="E968" s="19" t="s">
        <v>5</v>
      </c>
      <c r="F968" s="19">
        <v>4.0</v>
      </c>
      <c r="G968" s="19">
        <f t="array" ref="G968">IF(OR(D968="",E968=""),"",IFERROR(CHOOSE(MATCH(E968,{"S","M","L","-"},0),VLOOKUP(D968,Menu!$A$2:$F$105,3,0),VLOOKUP(D968,Menu!$A$2:$F$105,4,0),VLOOKUP(D968,Menu!$A$2:$F$105,5,0),VLOOKUP(D968,Menu!$A$2:$F$105,6,0)),"N/A"))</f>
        <v>99</v>
      </c>
      <c r="H968" s="19">
        <f t="shared" si="2"/>
        <v>396</v>
      </c>
      <c r="I968" s="19">
        <f t="shared" si="4"/>
        <v>1886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8">
        <v>45317.0</v>
      </c>
      <c r="B969" s="19" t="str">
        <f t="shared" si="1"/>
        <v>Friday</v>
      </c>
      <c r="C969" s="19" t="str">
        <f>IF(D969="","",VLOOKUP(D969,Menu!$A$2:$B$105,2,0))</f>
        <v>Pizza</v>
      </c>
      <c r="D969" s="19" t="s">
        <v>15</v>
      </c>
      <c r="E969" s="19" t="s">
        <v>2</v>
      </c>
      <c r="F969" s="19">
        <v>1.0</v>
      </c>
      <c r="G969" s="19">
        <f t="array" ref="G969">IF(OR(D969="",E969=""),"",IFERROR(CHOOSE(MATCH(E969,{"S","M","L","-"},0),VLOOKUP(D969,Menu!$A$2:$F$105,3,0),VLOOKUP(D969,Menu!$A$2:$F$105,4,0),VLOOKUP(D969,Menu!$A$2:$F$105,5,0),VLOOKUP(D969,Menu!$A$2:$F$105,6,0)),"N/A"))</f>
        <v>99</v>
      </c>
      <c r="H969" s="19">
        <f t="shared" si="2"/>
        <v>99</v>
      </c>
      <c r="I969" s="19">
        <f t="shared" si="4"/>
        <v>1886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8">
        <v>45317.0</v>
      </c>
      <c r="B970" s="19" t="str">
        <f t="shared" si="1"/>
        <v>Friday</v>
      </c>
      <c r="C970" s="19" t="str">
        <f>IF(D970="","",VLOOKUP(D970,Menu!$A$2:$B$105,2,0))</f>
        <v>Combo</v>
      </c>
      <c r="D970" s="19" t="s">
        <v>59</v>
      </c>
      <c r="E970" s="19" t="s">
        <v>5</v>
      </c>
      <c r="F970" s="19">
        <v>1.0</v>
      </c>
      <c r="G970" s="19">
        <f t="array" ref="G970">IF(OR(D970="",E970=""),"",IFERROR(CHOOSE(MATCH(E970,{"S","M","L","-"},0),VLOOKUP(D970,Menu!$A$2:$F$105,3,0),VLOOKUP(D970,Menu!$A$2:$F$105,4,0),VLOOKUP(D970,Menu!$A$2:$F$105,5,0),VLOOKUP(D970,Menu!$A$2:$F$105,6,0)),"N/A"))</f>
        <v>199</v>
      </c>
      <c r="H970" s="19">
        <f t="shared" si="2"/>
        <v>199</v>
      </c>
      <c r="I970" s="19">
        <f t="shared" si="4"/>
        <v>1886</v>
      </c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8">
        <v>45317.0</v>
      </c>
      <c r="B971" s="19" t="str">
        <f t="shared" si="1"/>
        <v>Friday</v>
      </c>
      <c r="C971" s="19" t="str">
        <f>IF(D971="","",VLOOKUP(D971,Menu!$A$2:$B$105,2,0))</f>
        <v>Pizza</v>
      </c>
      <c r="D971" s="19" t="s">
        <v>11</v>
      </c>
      <c r="E971" s="19" t="s">
        <v>4</v>
      </c>
      <c r="F971" s="19">
        <v>1.0</v>
      </c>
      <c r="G971" s="19">
        <f t="array" ref="G971">IF(OR(D971="",E971=""),"",IFERROR(CHOOSE(MATCH(E971,{"S","M","L","-"},0),VLOOKUP(D971,Menu!$A$2:$F$105,3,0),VLOOKUP(D971,Menu!$A$2:$F$105,4,0),VLOOKUP(D971,Menu!$A$2:$F$105,5,0),VLOOKUP(D971,Menu!$A$2:$F$105,6,0)),"N/A"))</f>
        <v>209</v>
      </c>
      <c r="H971" s="19">
        <f t="shared" si="2"/>
        <v>209</v>
      </c>
      <c r="I971" s="19">
        <f t="shared" si="4"/>
        <v>1886</v>
      </c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8">
        <v>45317.0</v>
      </c>
      <c r="B972" s="19" t="str">
        <f t="shared" si="1"/>
        <v>Friday</v>
      </c>
      <c r="C972" s="19" t="str">
        <f>IF(D972="","",VLOOKUP(D972,Menu!$A$2:$B$105,2,0))</f>
        <v>Pizza</v>
      </c>
      <c r="D972" s="19" t="s">
        <v>12</v>
      </c>
      <c r="E972" s="19" t="s">
        <v>3</v>
      </c>
      <c r="F972" s="19">
        <v>2.0</v>
      </c>
      <c r="G972" s="19">
        <f t="array" ref="G972">IF(OR(D972="",E972=""),"",IFERROR(CHOOSE(MATCH(E972,{"S","M","L","-"},0),VLOOKUP(D972,Menu!$A$2:$F$105,3,0),VLOOKUP(D972,Menu!$A$2:$F$105,4,0),VLOOKUP(D972,Menu!$A$2:$F$105,5,0),VLOOKUP(D972,Menu!$A$2:$F$105,6,0)),"N/A"))</f>
        <v>129</v>
      </c>
      <c r="H972" s="19">
        <f t="shared" si="2"/>
        <v>258</v>
      </c>
      <c r="I972" s="19">
        <f t="shared" si="4"/>
        <v>1886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8">
        <v>45317.0</v>
      </c>
      <c r="B973" s="19" t="str">
        <f t="shared" si="1"/>
        <v>Friday</v>
      </c>
      <c r="C973" s="19" t="str">
        <f>IF(D973="","",VLOOKUP(D973,Menu!$A$2:$B$105,2,0))</f>
        <v>Pizza</v>
      </c>
      <c r="D973" s="19" t="s">
        <v>8</v>
      </c>
      <c r="E973" s="19" t="s">
        <v>3</v>
      </c>
      <c r="F973" s="19">
        <v>2.0</v>
      </c>
      <c r="G973" s="19">
        <f t="array" ref="G973">IF(OR(D973="",E973=""),"",IFERROR(CHOOSE(MATCH(E973,{"S","M","L","-"},0),VLOOKUP(D973,Menu!$A$2:$F$105,3,0),VLOOKUP(D973,Menu!$A$2:$F$105,4,0),VLOOKUP(D973,Menu!$A$2:$F$105,5,0),VLOOKUP(D973,Menu!$A$2:$F$105,6,0)),"N/A"))</f>
        <v>109</v>
      </c>
      <c r="H973" s="19">
        <f t="shared" si="2"/>
        <v>218</v>
      </c>
      <c r="I973" s="19">
        <f t="shared" si="4"/>
        <v>1886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8">
        <v>45317.0</v>
      </c>
      <c r="B974" s="19" t="str">
        <f t="shared" si="1"/>
        <v>Friday</v>
      </c>
      <c r="C974" s="19" t="str">
        <f>IF(D974="","",VLOOKUP(D974,Menu!$A$2:$B$105,2,0))</f>
        <v>Pizza</v>
      </c>
      <c r="D974" s="19" t="s">
        <v>11</v>
      </c>
      <c r="E974" s="19" t="s">
        <v>3</v>
      </c>
      <c r="F974" s="19">
        <v>1.0</v>
      </c>
      <c r="G974" s="19">
        <f t="array" ref="G974">IF(OR(D974="",E974=""),"",IFERROR(CHOOSE(MATCH(E974,{"S","M","L","-"},0),VLOOKUP(D974,Menu!$A$2:$F$105,3,0),VLOOKUP(D974,Menu!$A$2:$F$105,4,0),VLOOKUP(D974,Menu!$A$2:$F$105,5,0),VLOOKUP(D974,Menu!$A$2:$F$105,6,0)),"N/A"))</f>
        <v>109</v>
      </c>
      <c r="H974" s="19">
        <f t="shared" si="2"/>
        <v>109</v>
      </c>
      <c r="I974" s="19">
        <f t="shared" si="4"/>
        <v>1886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8">
        <v>45317.0</v>
      </c>
      <c r="B975" s="19" t="str">
        <f t="shared" si="1"/>
        <v>Friday</v>
      </c>
      <c r="C975" s="19" t="str">
        <f>IF(D975="","",VLOOKUP(D975,Menu!$A$2:$B$105,2,0))</f>
        <v>Pizza</v>
      </c>
      <c r="D975" s="19" t="s">
        <v>16</v>
      </c>
      <c r="E975" s="19" t="s">
        <v>3</v>
      </c>
      <c r="F975" s="19">
        <v>1.0</v>
      </c>
      <c r="G975" s="19">
        <f t="array" ref="G975">IF(OR(D975="",E975=""),"",IFERROR(CHOOSE(MATCH(E975,{"S","M","L","-"},0),VLOOKUP(D975,Menu!$A$2:$F$105,3,0),VLOOKUP(D975,Menu!$A$2:$F$105,4,0),VLOOKUP(D975,Menu!$A$2:$F$105,5,0),VLOOKUP(D975,Menu!$A$2:$F$105,6,0)),"N/A"))</f>
        <v>199</v>
      </c>
      <c r="H975" s="19">
        <f t="shared" si="2"/>
        <v>199</v>
      </c>
      <c r="I975" s="19">
        <f t="shared" si="4"/>
        <v>1886</v>
      </c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6">
        <v>45318.0</v>
      </c>
      <c r="B976" s="17" t="str">
        <f t="shared" si="1"/>
        <v>Saturday</v>
      </c>
      <c r="C976" s="17" t="str">
        <f>IF(D976="","",VLOOKUP(D976,Menu!$A$2:$B$105,2,0))</f>
        <v>Pizza</v>
      </c>
      <c r="D976" s="17" t="s">
        <v>8</v>
      </c>
      <c r="E976" s="17" t="s">
        <v>4</v>
      </c>
      <c r="F976" s="17">
        <v>1.0</v>
      </c>
      <c r="G976" s="17">
        <f t="array" ref="G976">IF(OR(D976="",E976=""),"",IFERROR(CHOOSE(MATCH(E976,{"S","M","L","-"},0),VLOOKUP(D976,Menu!$A$2:$F$105,3,0),VLOOKUP(D976,Menu!$A$2:$F$105,4,0),VLOOKUP(D976,Menu!$A$2:$F$105,5,0),VLOOKUP(D976,Menu!$A$2:$F$105,6,0)),"N/A"))</f>
        <v>199</v>
      </c>
      <c r="H976" s="17">
        <f t="shared" si="2"/>
        <v>199</v>
      </c>
      <c r="I976" s="17">
        <f t="shared" si="4"/>
        <v>624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6">
        <v>45318.0</v>
      </c>
      <c r="B977" s="17" t="str">
        <f t="shared" si="1"/>
        <v>Saturday</v>
      </c>
      <c r="C977" s="17" t="str">
        <f>IF(D977="","",VLOOKUP(D977,Menu!$A$2:$B$105,2,0))</f>
        <v>Pizza</v>
      </c>
      <c r="D977" s="17" t="s">
        <v>15</v>
      </c>
      <c r="E977" s="17" t="s">
        <v>3</v>
      </c>
      <c r="F977" s="17">
        <v>1.0</v>
      </c>
      <c r="G977" s="17">
        <f t="array" ref="G977">IF(OR(D977="",E977=""),"",IFERROR(CHOOSE(MATCH(E977,{"S","M","L","-"},0),VLOOKUP(D977,Menu!$A$2:$F$105,3,0),VLOOKUP(D977,Menu!$A$2:$F$105,4,0),VLOOKUP(D977,Menu!$A$2:$F$105,5,0),VLOOKUP(D977,Menu!$A$2:$F$105,6,0)),"N/A"))</f>
        <v>149</v>
      </c>
      <c r="H977" s="17">
        <f t="shared" si="2"/>
        <v>149</v>
      </c>
      <c r="I977" s="17">
        <f t="shared" si="4"/>
        <v>624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6">
        <v>45318.0</v>
      </c>
      <c r="B978" s="17" t="str">
        <f t="shared" si="1"/>
        <v>Saturday</v>
      </c>
      <c r="C978" s="17" t="str">
        <f>IF(D978="","",VLOOKUP(D978,Menu!$A$2:$B$105,2,0))</f>
        <v>Pizza</v>
      </c>
      <c r="D978" s="17" t="s">
        <v>6</v>
      </c>
      <c r="E978" s="17" t="s">
        <v>2</v>
      </c>
      <c r="F978" s="17">
        <v>1.0</v>
      </c>
      <c r="G978" s="17">
        <f t="array" ref="G978">IF(OR(D978="",E978=""),"",IFERROR(CHOOSE(MATCH(E978,{"S","M","L","-"},0),VLOOKUP(D978,Menu!$A$2:$F$105,3,0),VLOOKUP(D978,Menu!$A$2:$F$105,4,0),VLOOKUP(D978,Menu!$A$2:$F$105,5,0),VLOOKUP(D978,Menu!$A$2:$F$105,6,0)),"N/A"))</f>
        <v>49</v>
      </c>
      <c r="H978" s="17">
        <f t="shared" si="2"/>
        <v>49</v>
      </c>
      <c r="I978" s="17">
        <f t="shared" si="4"/>
        <v>624</v>
      </c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6">
        <v>45318.0</v>
      </c>
      <c r="B979" s="17" t="str">
        <f t="shared" si="1"/>
        <v>Saturday</v>
      </c>
      <c r="C979" s="17" t="str">
        <f>IF(D979="","",VLOOKUP(D979,Menu!$A$2:$B$105,2,0))</f>
        <v>Pizza</v>
      </c>
      <c r="D979" s="17" t="s">
        <v>10</v>
      </c>
      <c r="E979" s="17" t="s">
        <v>2</v>
      </c>
      <c r="F979" s="17">
        <v>2.0</v>
      </c>
      <c r="G979" s="17">
        <f t="array" ref="G979">IF(OR(D979="",E979=""),"",IFERROR(CHOOSE(MATCH(E979,{"S","M","L","-"},0),VLOOKUP(D979,Menu!$A$2:$F$105,3,0),VLOOKUP(D979,Menu!$A$2:$F$105,4,0),VLOOKUP(D979,Menu!$A$2:$F$105,5,0),VLOOKUP(D979,Menu!$A$2:$F$105,6,0)),"N/A"))</f>
        <v>59</v>
      </c>
      <c r="H979" s="17">
        <f t="shared" si="2"/>
        <v>118</v>
      </c>
      <c r="I979" s="17">
        <f t="shared" si="4"/>
        <v>624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6">
        <v>45318.0</v>
      </c>
      <c r="B980" s="17" t="str">
        <f t="shared" si="1"/>
        <v>Saturday</v>
      </c>
      <c r="C980" s="17" t="str">
        <f>IF(D980="","",VLOOKUP(D980,Menu!$A$2:$B$105,2,0))</f>
        <v>Pizza</v>
      </c>
      <c r="D980" s="17" t="s">
        <v>10</v>
      </c>
      <c r="E980" s="17" t="s">
        <v>3</v>
      </c>
      <c r="F980" s="17">
        <v>1.0</v>
      </c>
      <c r="G980" s="17">
        <f t="array" ref="G980">IF(OR(D980="",E980=""),"",IFERROR(CHOOSE(MATCH(E980,{"S","M","L","-"},0),VLOOKUP(D980,Menu!$A$2:$F$105,3,0),VLOOKUP(D980,Menu!$A$2:$F$105,4,0),VLOOKUP(D980,Menu!$A$2:$F$105,5,0),VLOOKUP(D980,Menu!$A$2:$F$105,6,0)),"N/A"))</f>
        <v>109</v>
      </c>
      <c r="H980" s="17">
        <f t="shared" si="2"/>
        <v>109</v>
      </c>
      <c r="I980" s="17">
        <f t="shared" si="4"/>
        <v>624</v>
      </c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8">
        <v>45320.0</v>
      </c>
      <c r="B981" s="19" t="str">
        <f t="shared" si="1"/>
        <v>Monday</v>
      </c>
      <c r="C981" s="19" t="str">
        <f>IF(D981="","",VLOOKUP(D981,Menu!$A$2:$B$105,2,0))</f>
        <v>Pizza</v>
      </c>
      <c r="D981" s="19" t="s">
        <v>20</v>
      </c>
      <c r="E981" s="19" t="s">
        <v>2</v>
      </c>
      <c r="F981" s="19">
        <v>1.0</v>
      </c>
      <c r="G981" s="19">
        <f t="array" ref="G981">IF(OR(D981="",E981=""),"",IFERROR(CHOOSE(MATCH(E981,{"S","M","L","-"},0),VLOOKUP(D981,Menu!$A$2:$F$105,3,0),VLOOKUP(D981,Menu!$A$2:$F$105,4,0),VLOOKUP(D981,Menu!$A$2:$F$105,5,0),VLOOKUP(D981,Menu!$A$2:$F$105,6,0)),"N/A"))</f>
        <v>119</v>
      </c>
      <c r="H981" s="19">
        <f t="shared" si="2"/>
        <v>119</v>
      </c>
      <c r="I981" s="19">
        <f t="shared" si="4"/>
        <v>256</v>
      </c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8">
        <v>45320.0</v>
      </c>
      <c r="B982" s="19" t="str">
        <f t="shared" si="1"/>
        <v>Monday</v>
      </c>
      <c r="C982" s="19" t="str">
        <f>IF(D982="","",VLOOKUP(D982,Menu!$A$2:$B$105,2,0))</f>
        <v>Pizza</v>
      </c>
      <c r="D982" s="19" t="s">
        <v>8</v>
      </c>
      <c r="E982" s="19" t="s">
        <v>2</v>
      </c>
      <c r="F982" s="19">
        <v>1.0</v>
      </c>
      <c r="G982" s="19">
        <f t="array" ref="G982">IF(OR(D982="",E982=""),"",IFERROR(CHOOSE(MATCH(E982,{"S","M","L","-"},0),VLOOKUP(D982,Menu!$A$2:$F$105,3,0),VLOOKUP(D982,Menu!$A$2:$F$105,4,0),VLOOKUP(D982,Menu!$A$2:$F$105,5,0),VLOOKUP(D982,Menu!$A$2:$F$105,6,0)),"N/A"))</f>
        <v>59</v>
      </c>
      <c r="H982" s="19">
        <f t="shared" si="2"/>
        <v>59</v>
      </c>
      <c r="I982" s="19">
        <f t="shared" si="4"/>
        <v>256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8">
        <v>45320.0</v>
      </c>
      <c r="B983" s="19" t="str">
        <f t="shared" si="1"/>
        <v>Monday</v>
      </c>
      <c r="C983" s="19" t="str">
        <f>IF(D983="","",VLOOKUP(D983,Menu!$A$2:$B$105,2,0))</f>
        <v>Burger</v>
      </c>
      <c r="D983" s="19" t="s">
        <v>27</v>
      </c>
      <c r="E983" s="19" t="s">
        <v>5</v>
      </c>
      <c r="F983" s="19">
        <v>2.0</v>
      </c>
      <c r="G983" s="19">
        <f t="array" ref="G983">IF(OR(D983="",E983=""),"",IFERROR(CHOOSE(MATCH(E983,{"S","M","L","-"},0),VLOOKUP(D983,Menu!$A$2:$F$105,3,0),VLOOKUP(D983,Menu!$A$2:$F$105,4,0),VLOOKUP(D983,Menu!$A$2:$F$105,5,0),VLOOKUP(D983,Menu!$A$2:$F$105,6,0)),"N/A"))</f>
        <v>39</v>
      </c>
      <c r="H983" s="19">
        <f t="shared" si="2"/>
        <v>78</v>
      </c>
      <c r="I983" s="19">
        <f t="shared" si="4"/>
        <v>256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6">
        <v>45321.0</v>
      </c>
      <c r="B984" s="17" t="str">
        <f t="shared" si="1"/>
        <v>Tuesday</v>
      </c>
      <c r="C984" s="17" t="str">
        <f>IF(D984="","",VLOOKUP(D984,Menu!$A$2:$B$105,2,0))</f>
        <v>Pizza</v>
      </c>
      <c r="D984" s="17" t="s">
        <v>6</v>
      </c>
      <c r="E984" s="17" t="s">
        <v>2</v>
      </c>
      <c r="F984" s="17">
        <v>2.0</v>
      </c>
      <c r="G984" s="17">
        <f t="array" ref="G984">IF(OR(D984="",E984=""),"",IFERROR(CHOOSE(MATCH(E984,{"S","M","L","-"},0),VLOOKUP(D984,Menu!$A$2:$F$105,3,0),VLOOKUP(D984,Menu!$A$2:$F$105,4,0),VLOOKUP(D984,Menu!$A$2:$F$105,5,0),VLOOKUP(D984,Menu!$A$2:$F$105,6,0)),"N/A"))</f>
        <v>49</v>
      </c>
      <c r="H984" s="17">
        <f t="shared" si="2"/>
        <v>98</v>
      </c>
      <c r="I984" s="17">
        <f t="shared" si="4"/>
        <v>979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6">
        <v>45321.0</v>
      </c>
      <c r="B985" s="17" t="str">
        <f t="shared" si="1"/>
        <v>Tuesday</v>
      </c>
      <c r="C985" s="17" t="str">
        <f>IF(D985="","",VLOOKUP(D985,Menu!$A$2:$B$105,2,0))</f>
        <v>Pizza</v>
      </c>
      <c r="D985" s="17" t="s">
        <v>16</v>
      </c>
      <c r="E985" s="17" t="s">
        <v>2</v>
      </c>
      <c r="F985" s="17">
        <v>2.0</v>
      </c>
      <c r="G985" s="17">
        <f t="array" ref="G985">IF(OR(D985="",E985=""),"",IFERROR(CHOOSE(MATCH(E985,{"S","M","L","-"},0),VLOOKUP(D985,Menu!$A$2:$F$105,3,0),VLOOKUP(D985,Menu!$A$2:$F$105,4,0),VLOOKUP(D985,Menu!$A$2:$F$105,5,0),VLOOKUP(D985,Menu!$A$2:$F$105,6,0)),"N/A"))</f>
        <v>109</v>
      </c>
      <c r="H985" s="17">
        <f t="shared" si="2"/>
        <v>218</v>
      </c>
      <c r="I985" s="17">
        <f t="shared" si="4"/>
        <v>979</v>
      </c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6">
        <v>45321.0</v>
      </c>
      <c r="B986" s="17" t="str">
        <f t="shared" si="1"/>
        <v>Tuesday</v>
      </c>
      <c r="C986" s="17" t="str">
        <f>IF(D986="","",VLOOKUP(D986,Menu!$A$2:$B$105,2,0))</f>
        <v>Pizza</v>
      </c>
      <c r="D986" s="17" t="s">
        <v>19</v>
      </c>
      <c r="E986" s="17" t="s">
        <v>2</v>
      </c>
      <c r="F986" s="17">
        <v>1.0</v>
      </c>
      <c r="G986" s="17">
        <f t="array" ref="G986">IF(OR(D986="",E986=""),"",IFERROR(CHOOSE(MATCH(E986,{"S","M","L","-"},0),VLOOKUP(D986,Menu!$A$2:$F$105,3,0),VLOOKUP(D986,Menu!$A$2:$F$105,4,0),VLOOKUP(D986,Menu!$A$2:$F$105,5,0),VLOOKUP(D986,Menu!$A$2:$F$105,6,0)),"N/A"))</f>
        <v>109</v>
      </c>
      <c r="H986" s="17">
        <f t="shared" si="2"/>
        <v>109</v>
      </c>
      <c r="I986" s="17">
        <f t="shared" si="4"/>
        <v>979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6">
        <v>45321.0</v>
      </c>
      <c r="B987" s="17" t="str">
        <f t="shared" si="1"/>
        <v>Tuesday</v>
      </c>
      <c r="C987" s="17" t="str">
        <f>IF(D987="","",VLOOKUP(D987,Menu!$A$2:$B$105,2,0))</f>
        <v>Pizza</v>
      </c>
      <c r="D987" s="17" t="s">
        <v>11</v>
      </c>
      <c r="E987" s="17" t="s">
        <v>2</v>
      </c>
      <c r="F987" s="17">
        <v>1.0</v>
      </c>
      <c r="G987" s="17">
        <f t="array" ref="G987">IF(OR(D987="",E987=""),"",IFERROR(CHOOSE(MATCH(E987,{"S","M","L","-"},0),VLOOKUP(D987,Menu!$A$2:$F$105,3,0),VLOOKUP(D987,Menu!$A$2:$F$105,4,0),VLOOKUP(D987,Menu!$A$2:$F$105,5,0),VLOOKUP(D987,Menu!$A$2:$F$105,6,0)),"N/A"))</f>
        <v>69</v>
      </c>
      <c r="H987" s="17">
        <f t="shared" si="2"/>
        <v>69</v>
      </c>
      <c r="I987" s="17">
        <f t="shared" si="4"/>
        <v>979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6">
        <v>45321.0</v>
      </c>
      <c r="B988" s="17" t="str">
        <f t="shared" si="1"/>
        <v>Tuesday</v>
      </c>
      <c r="C988" s="17" t="str">
        <f>IF(D988="","",VLOOKUP(D988,Menu!$A$2:$B$105,2,0))</f>
        <v>Pizza</v>
      </c>
      <c r="D988" s="17" t="s">
        <v>15</v>
      </c>
      <c r="E988" s="17" t="s">
        <v>4</v>
      </c>
      <c r="F988" s="17">
        <v>1.0</v>
      </c>
      <c r="G988" s="17">
        <f t="array" ref="G988">IF(OR(D988="",E988=""),"",IFERROR(CHOOSE(MATCH(E988,{"S","M","L","-"},0),VLOOKUP(D988,Menu!$A$2:$F$105,3,0),VLOOKUP(D988,Menu!$A$2:$F$105,4,0),VLOOKUP(D988,Menu!$A$2:$F$105,5,0),VLOOKUP(D988,Menu!$A$2:$F$105,6,0)),"N/A"))</f>
        <v>249</v>
      </c>
      <c r="H988" s="17">
        <f t="shared" si="2"/>
        <v>249</v>
      </c>
      <c r="I988" s="17">
        <f t="shared" si="4"/>
        <v>979</v>
      </c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6">
        <v>45321.0</v>
      </c>
      <c r="B989" s="17" t="str">
        <f t="shared" si="1"/>
        <v>Tuesday</v>
      </c>
      <c r="C989" s="17" t="str">
        <f>IF(D989="","",VLOOKUP(D989,Menu!$A$2:$B$105,2,0))</f>
        <v>Pizza</v>
      </c>
      <c r="D989" s="17" t="s">
        <v>9</v>
      </c>
      <c r="E989" s="17" t="s">
        <v>2</v>
      </c>
      <c r="F989" s="17">
        <v>2.0</v>
      </c>
      <c r="G989" s="17">
        <f t="array" ref="G989">IF(OR(D989="",E989=""),"",IFERROR(CHOOSE(MATCH(E989,{"S","M","L","-"},0),VLOOKUP(D989,Menu!$A$2:$F$105,3,0),VLOOKUP(D989,Menu!$A$2:$F$105,4,0),VLOOKUP(D989,Menu!$A$2:$F$105,5,0),VLOOKUP(D989,Menu!$A$2:$F$105,6,0)),"N/A"))</f>
        <v>59</v>
      </c>
      <c r="H989" s="17">
        <f t="shared" si="2"/>
        <v>118</v>
      </c>
      <c r="I989" s="17">
        <f t="shared" si="4"/>
        <v>979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6">
        <v>45321.0</v>
      </c>
      <c r="B990" s="17" t="str">
        <f t="shared" si="1"/>
        <v>Tuesday</v>
      </c>
      <c r="C990" s="17" t="str">
        <f>IF(D990="","",VLOOKUP(D990,Menu!$A$2:$B$105,2,0))</f>
        <v>Pizza</v>
      </c>
      <c r="D990" s="17" t="s">
        <v>8</v>
      </c>
      <c r="E990" s="17" t="s">
        <v>2</v>
      </c>
      <c r="F990" s="17">
        <v>1.0</v>
      </c>
      <c r="G990" s="17">
        <f t="array" ref="G990">IF(OR(D990="",E990=""),"",IFERROR(CHOOSE(MATCH(E990,{"S","M","L","-"},0),VLOOKUP(D990,Menu!$A$2:$F$105,3,0),VLOOKUP(D990,Menu!$A$2:$F$105,4,0),VLOOKUP(D990,Menu!$A$2:$F$105,5,0),VLOOKUP(D990,Menu!$A$2:$F$105,6,0)),"N/A"))</f>
        <v>59</v>
      </c>
      <c r="H990" s="17">
        <f t="shared" si="2"/>
        <v>59</v>
      </c>
      <c r="I990" s="17">
        <f t="shared" si="4"/>
        <v>979</v>
      </c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6">
        <v>45321.0</v>
      </c>
      <c r="B991" s="17" t="str">
        <f t="shared" si="1"/>
        <v>Tuesday</v>
      </c>
      <c r="C991" s="17" t="str">
        <f>IF(D991="","",VLOOKUP(D991,Menu!$A$2:$B$105,2,0))</f>
        <v>Pizza</v>
      </c>
      <c r="D991" s="17" t="s">
        <v>10</v>
      </c>
      <c r="E991" s="17" t="s">
        <v>2</v>
      </c>
      <c r="F991" s="17">
        <v>1.0</v>
      </c>
      <c r="G991" s="17">
        <f t="array" ref="G991">IF(OR(D991="",E991=""),"",IFERROR(CHOOSE(MATCH(E991,{"S","M","L","-"},0),VLOOKUP(D991,Menu!$A$2:$F$105,3,0),VLOOKUP(D991,Menu!$A$2:$F$105,4,0),VLOOKUP(D991,Menu!$A$2:$F$105,5,0),VLOOKUP(D991,Menu!$A$2:$F$105,6,0)),"N/A"))</f>
        <v>59</v>
      </c>
      <c r="H991" s="17">
        <f t="shared" si="2"/>
        <v>59</v>
      </c>
      <c r="I991" s="17">
        <f t="shared" si="4"/>
        <v>979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8">
        <v>45322.0</v>
      </c>
      <c r="B992" s="19" t="str">
        <f t="shared" si="1"/>
        <v>Wednesday</v>
      </c>
      <c r="C992" s="19" t="str">
        <f>IF(D992="","",VLOOKUP(D992,Menu!$A$2:$B$105,2,0))</f>
        <v>Pizza</v>
      </c>
      <c r="D992" s="19" t="s">
        <v>6</v>
      </c>
      <c r="E992" s="19" t="s">
        <v>2</v>
      </c>
      <c r="F992" s="19">
        <v>3.0</v>
      </c>
      <c r="G992" s="19">
        <f t="array" ref="G992">IF(OR(D992="",E992=""),"",IFERROR(CHOOSE(MATCH(E992,{"S","M","L","-"},0),VLOOKUP(D992,Menu!$A$2:$F$105,3,0),VLOOKUP(D992,Menu!$A$2:$F$105,4,0),VLOOKUP(D992,Menu!$A$2:$F$105,5,0),VLOOKUP(D992,Menu!$A$2:$F$105,6,0)),"N/A"))</f>
        <v>49</v>
      </c>
      <c r="H992" s="19">
        <f t="shared" si="2"/>
        <v>147</v>
      </c>
      <c r="I992" s="19">
        <f t="shared" si="4"/>
        <v>961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8">
        <v>45322.0</v>
      </c>
      <c r="B993" s="19" t="str">
        <f t="shared" si="1"/>
        <v>Wednesday</v>
      </c>
      <c r="C993" s="19" t="str">
        <f>IF(D993="","",VLOOKUP(D993,Menu!$A$2:$B$105,2,0))</f>
        <v>Pizza</v>
      </c>
      <c r="D993" s="19" t="s">
        <v>15</v>
      </c>
      <c r="E993" s="19" t="s">
        <v>2</v>
      </c>
      <c r="F993" s="19">
        <v>1.0</v>
      </c>
      <c r="G993" s="19">
        <f t="array" ref="G993">IF(OR(D993="",E993=""),"",IFERROR(CHOOSE(MATCH(E993,{"S","M","L","-"},0),VLOOKUP(D993,Menu!$A$2:$F$105,3,0),VLOOKUP(D993,Menu!$A$2:$F$105,4,0),VLOOKUP(D993,Menu!$A$2:$F$105,5,0),VLOOKUP(D993,Menu!$A$2:$F$105,6,0)),"N/A"))</f>
        <v>99</v>
      </c>
      <c r="H993" s="19">
        <f t="shared" si="2"/>
        <v>99</v>
      </c>
      <c r="I993" s="19">
        <f t="shared" si="4"/>
        <v>961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8">
        <v>45322.0</v>
      </c>
      <c r="B994" s="19" t="str">
        <f t="shared" si="1"/>
        <v>Wednesday</v>
      </c>
      <c r="C994" s="19" t="str">
        <f>IF(D994="","",VLOOKUP(D994,Menu!$A$2:$B$105,2,0))</f>
        <v>Pizza</v>
      </c>
      <c r="D994" s="19" t="s">
        <v>8</v>
      </c>
      <c r="E994" s="19" t="s">
        <v>2</v>
      </c>
      <c r="F994" s="19">
        <v>1.0</v>
      </c>
      <c r="G994" s="19">
        <f t="array" ref="G994">IF(OR(D994="",E994=""),"",IFERROR(CHOOSE(MATCH(E994,{"S","M","L","-"},0),VLOOKUP(D994,Menu!$A$2:$F$105,3,0),VLOOKUP(D994,Menu!$A$2:$F$105,4,0),VLOOKUP(D994,Menu!$A$2:$F$105,5,0),VLOOKUP(D994,Menu!$A$2:$F$105,6,0)),"N/A"))</f>
        <v>59</v>
      </c>
      <c r="H994" s="19">
        <f t="shared" si="2"/>
        <v>59</v>
      </c>
      <c r="I994" s="19">
        <f t="shared" si="4"/>
        <v>961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8">
        <v>45322.0</v>
      </c>
      <c r="B995" s="19" t="str">
        <f t="shared" si="1"/>
        <v>Wednesday</v>
      </c>
      <c r="C995" s="19" t="str">
        <f>IF(D995="","",VLOOKUP(D995,Menu!$A$2:$B$105,2,0))</f>
        <v>Pizza</v>
      </c>
      <c r="D995" s="19" t="s">
        <v>15</v>
      </c>
      <c r="E995" s="19" t="s">
        <v>3</v>
      </c>
      <c r="F995" s="19">
        <v>1.0</v>
      </c>
      <c r="G995" s="19">
        <f t="array" ref="G995">IF(OR(D995="",E995=""),"",IFERROR(CHOOSE(MATCH(E995,{"S","M","L","-"},0),VLOOKUP(D995,Menu!$A$2:$F$105,3,0),VLOOKUP(D995,Menu!$A$2:$F$105,4,0),VLOOKUP(D995,Menu!$A$2:$F$105,5,0),VLOOKUP(D995,Menu!$A$2:$F$105,6,0)),"N/A"))</f>
        <v>149</v>
      </c>
      <c r="H995" s="19">
        <f t="shared" si="2"/>
        <v>149</v>
      </c>
      <c r="I995" s="19">
        <f t="shared" si="4"/>
        <v>961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8">
        <v>45322.0</v>
      </c>
      <c r="B996" s="19" t="str">
        <f t="shared" si="1"/>
        <v>Wednesday</v>
      </c>
      <c r="C996" s="19" t="str">
        <f>IF(D996="","",VLOOKUP(D996,Menu!$A$2:$B$105,2,0))</f>
        <v>Pizza</v>
      </c>
      <c r="D996" s="19" t="s">
        <v>24</v>
      </c>
      <c r="E996" s="19" t="s">
        <v>2</v>
      </c>
      <c r="F996" s="19">
        <v>1.0</v>
      </c>
      <c r="G996" s="19">
        <f t="array" ref="G996">IF(OR(D996="",E996=""),"",IFERROR(CHOOSE(MATCH(E996,{"S","M","L","-"},0),VLOOKUP(D996,Menu!$A$2:$F$105,3,0),VLOOKUP(D996,Menu!$A$2:$F$105,4,0),VLOOKUP(D996,Menu!$A$2:$F$105,5,0),VLOOKUP(D996,Menu!$A$2:$F$105,6,0)),"N/A"))</f>
        <v>149</v>
      </c>
      <c r="H996" s="19">
        <f t="shared" si="2"/>
        <v>149</v>
      </c>
      <c r="I996" s="19">
        <f t="shared" si="4"/>
        <v>961</v>
      </c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8">
        <v>45322.0</v>
      </c>
      <c r="B997" s="19" t="str">
        <f t="shared" si="1"/>
        <v>Wednesday</v>
      </c>
      <c r="C997" s="19" t="str">
        <f>IF(D997="","",VLOOKUP(D997,Menu!$A$2:$B$105,2,0))</f>
        <v>Beverage</v>
      </c>
      <c r="D997" s="19" t="s">
        <v>63</v>
      </c>
      <c r="E997" s="19" t="s">
        <v>5</v>
      </c>
      <c r="F997" s="19">
        <v>2.0</v>
      </c>
      <c r="G997" s="19">
        <f t="array" ref="G997">IF(OR(D997="",E997=""),"",IFERROR(CHOOSE(MATCH(E997,{"S","M","L","-"},0),VLOOKUP(D997,Menu!$A$2:$F$105,3,0),VLOOKUP(D997,Menu!$A$2:$F$105,4,0),VLOOKUP(D997,Menu!$A$2:$F$105,5,0),VLOOKUP(D997,Menu!$A$2:$F$105,6,0)),"N/A"))</f>
        <v>20</v>
      </c>
      <c r="H997" s="19">
        <f t="shared" si="2"/>
        <v>40</v>
      </c>
      <c r="I997" s="19">
        <f t="shared" si="4"/>
        <v>961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8">
        <v>45322.0</v>
      </c>
      <c r="B998" s="19" t="str">
        <f t="shared" si="1"/>
        <v>Wednesday</v>
      </c>
      <c r="C998" s="19" t="str">
        <f>IF(D998="","",VLOOKUP(D998,Menu!$A$2:$B$105,2,0))</f>
        <v>Pizza</v>
      </c>
      <c r="D998" s="19" t="s">
        <v>11</v>
      </c>
      <c r="E998" s="19" t="s">
        <v>3</v>
      </c>
      <c r="F998" s="19">
        <v>1.0</v>
      </c>
      <c r="G998" s="19">
        <f t="array" ref="G998">IF(OR(D998="",E998=""),"",IFERROR(CHOOSE(MATCH(E998,{"S","M","L","-"},0),VLOOKUP(D998,Menu!$A$2:$F$105,3,0),VLOOKUP(D998,Menu!$A$2:$F$105,4,0),VLOOKUP(D998,Menu!$A$2:$F$105,5,0),VLOOKUP(D998,Menu!$A$2:$F$105,6,0)),"N/A"))</f>
        <v>109</v>
      </c>
      <c r="H998" s="19">
        <f t="shared" si="2"/>
        <v>109</v>
      </c>
      <c r="I998" s="19">
        <f t="shared" si="4"/>
        <v>961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8">
        <v>45322.0</v>
      </c>
      <c r="B999" s="19" t="str">
        <f t="shared" si="1"/>
        <v>Wednesday</v>
      </c>
      <c r="C999" s="19" t="str">
        <f>IF(D999="","",VLOOKUP(D999,Menu!$A$2:$B$105,2,0))</f>
        <v>Pizza</v>
      </c>
      <c r="D999" s="19" t="s">
        <v>11</v>
      </c>
      <c r="E999" s="19" t="s">
        <v>4</v>
      </c>
      <c r="F999" s="19">
        <v>1.0</v>
      </c>
      <c r="G999" s="19">
        <f t="array" ref="G999">IF(OR(D999="",E999=""),"",IFERROR(CHOOSE(MATCH(E999,{"S","M","L","-"},0),VLOOKUP(D999,Menu!$A$2:$F$105,3,0),VLOOKUP(D999,Menu!$A$2:$F$105,4,0),VLOOKUP(D999,Menu!$A$2:$F$105,5,0),VLOOKUP(D999,Menu!$A$2:$F$105,6,0)),"N/A"))</f>
        <v>209</v>
      </c>
      <c r="H999" s="19">
        <f t="shared" si="2"/>
        <v>209</v>
      </c>
      <c r="I999" s="19">
        <f t="shared" si="4"/>
        <v>961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21"/>
      <c r="B1000" s="17"/>
      <c r="C1000" s="17"/>
      <c r="D1000" s="22"/>
      <c r="E1000" s="22"/>
      <c r="F1000" s="22"/>
      <c r="G1000" s="17"/>
      <c r="H1000" s="17"/>
      <c r="I1000" s="17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6"/>
      <c r="B1001" s="17"/>
      <c r="C1001" s="17"/>
      <c r="D1001" s="17"/>
      <c r="E1001" s="17"/>
      <c r="F1001" s="17"/>
      <c r="G1001" s="17"/>
      <c r="H1001" s="17"/>
      <c r="I1001" s="17" t="str">
        <f t="shared" ref="I1001:I1003" si="5">IF(A1001="","",SUMIF($A$3:$A$2048,A1001,$H$3:$H$2048))</f>
        <v/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6"/>
      <c r="B1002" s="17"/>
      <c r="C1002" s="17"/>
      <c r="D1002" s="17"/>
      <c r="E1002" s="17"/>
      <c r="F1002" s="17"/>
      <c r="G1002" s="17"/>
      <c r="H1002" s="17"/>
      <c r="I1002" s="17" t="str">
        <f t="shared" si="5"/>
        <v/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5.75" customHeight="1">
      <c r="A1003" s="16"/>
      <c r="B1003" s="17"/>
      <c r="C1003" s="17"/>
      <c r="D1003" s="17"/>
      <c r="E1003" s="17"/>
      <c r="F1003" s="17"/>
      <c r="G1003" s="17"/>
      <c r="H1003" s="17"/>
      <c r="I1003" s="17" t="str">
        <f t="shared" si="5"/>
        <v/>
      </c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5.75" customHeight="1">
      <c r="A1004" s="16"/>
      <c r="B1004" s="17"/>
      <c r="C1004" s="17"/>
      <c r="D1004" s="17"/>
      <c r="E1004" s="17"/>
      <c r="F1004" s="17"/>
      <c r="G1004" s="17"/>
      <c r="H1004" s="17"/>
      <c r="I1004" s="17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5.75" customHeight="1">
      <c r="A1005" s="16"/>
      <c r="B1005" s="17"/>
      <c r="C1005" s="17"/>
      <c r="D1005" s="17"/>
      <c r="E1005" s="17"/>
      <c r="F1005" s="17"/>
      <c r="G1005" s="17"/>
      <c r="H1005" s="17"/>
      <c r="I1005" s="17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5.75" customHeight="1">
      <c r="A1006" s="16"/>
      <c r="B1006" s="17"/>
      <c r="C1006" s="17"/>
      <c r="D1006" s="17"/>
      <c r="E1006" s="17"/>
      <c r="F1006" s="17"/>
      <c r="G1006" s="17"/>
      <c r="H1006" s="17"/>
      <c r="I1006" s="17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15.75" customHeight="1">
      <c r="A1007" s="16"/>
      <c r="B1007" s="17"/>
      <c r="C1007" s="17"/>
      <c r="D1007" s="17"/>
      <c r="E1007" s="17"/>
      <c r="F1007" s="17"/>
      <c r="G1007" s="17"/>
      <c r="H1007" s="17"/>
      <c r="I1007" s="17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15.75" customHeight="1">
      <c r="A1008" s="16"/>
      <c r="B1008" s="17"/>
      <c r="C1008" s="17"/>
      <c r="D1008" s="17"/>
      <c r="E1008" s="17"/>
      <c r="F1008" s="17"/>
      <c r="G1008" s="17"/>
      <c r="H1008" s="17"/>
      <c r="I1008" s="17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15.75" customHeight="1">
      <c r="A1009" s="16"/>
      <c r="B1009" s="17"/>
      <c r="C1009" s="17"/>
      <c r="D1009" s="17"/>
      <c r="E1009" s="17"/>
      <c r="F1009" s="17"/>
      <c r="G1009" s="17"/>
      <c r="H1009" s="17"/>
      <c r="I1009" s="17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15.75" customHeight="1">
      <c r="A1010" s="16"/>
      <c r="B1010" s="17"/>
      <c r="C1010" s="17"/>
      <c r="D1010" s="17"/>
      <c r="E1010" s="17"/>
      <c r="F1010" s="17"/>
      <c r="G1010" s="17"/>
      <c r="H1010" s="17"/>
      <c r="I1010" s="17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15.75" customHeight="1">
      <c r="A1011" s="16"/>
      <c r="B1011" s="17"/>
      <c r="C1011" s="17"/>
      <c r="D1011" s="17"/>
      <c r="E1011" s="17"/>
      <c r="F1011" s="17"/>
      <c r="G1011" s="17"/>
      <c r="H1011" s="17"/>
      <c r="I1011" s="17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15.75" customHeight="1">
      <c r="A1012" s="16"/>
      <c r="B1012" s="17"/>
      <c r="C1012" s="17"/>
      <c r="D1012" s="17"/>
      <c r="E1012" s="17"/>
      <c r="F1012" s="17"/>
      <c r="G1012" s="17"/>
      <c r="H1012" s="17"/>
      <c r="I1012" s="17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15.75" customHeight="1">
      <c r="A1013" s="16"/>
      <c r="B1013" s="17"/>
      <c r="C1013" s="17"/>
      <c r="D1013" s="17"/>
      <c r="E1013" s="17"/>
      <c r="F1013" s="17"/>
      <c r="G1013" s="17"/>
      <c r="H1013" s="17"/>
      <c r="I1013" s="17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15.75" customHeight="1">
      <c r="A1014" s="16"/>
      <c r="B1014" s="17"/>
      <c r="C1014" s="17"/>
      <c r="D1014" s="17"/>
      <c r="E1014" s="17"/>
      <c r="F1014" s="17"/>
      <c r="G1014" s="17"/>
      <c r="H1014" s="17"/>
      <c r="I1014" s="17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15.75" customHeight="1">
      <c r="A1015" s="16"/>
      <c r="B1015" s="17"/>
      <c r="C1015" s="17"/>
      <c r="D1015" s="17"/>
      <c r="E1015" s="17"/>
      <c r="F1015" s="17"/>
      <c r="G1015" s="17"/>
      <c r="H1015" s="17"/>
      <c r="I1015" s="17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15.75" customHeight="1">
      <c r="A1016" s="16"/>
      <c r="B1016" s="17"/>
      <c r="C1016" s="17"/>
      <c r="D1016" s="17"/>
      <c r="E1016" s="17"/>
      <c r="F1016" s="17"/>
      <c r="G1016" s="17"/>
      <c r="H1016" s="17"/>
      <c r="I1016" s="17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15.75" customHeight="1">
      <c r="A1017" s="16"/>
      <c r="B1017" s="17"/>
      <c r="C1017" s="17"/>
      <c r="D1017" s="17"/>
      <c r="E1017" s="17"/>
      <c r="F1017" s="17"/>
      <c r="G1017" s="17"/>
      <c r="H1017" s="17"/>
      <c r="I1017" s="17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15.75" customHeight="1">
      <c r="A1018" s="16"/>
      <c r="B1018" s="17"/>
      <c r="C1018" s="17"/>
      <c r="D1018" s="17"/>
      <c r="E1018" s="17"/>
      <c r="F1018" s="17"/>
      <c r="G1018" s="17"/>
      <c r="H1018" s="17"/>
      <c r="I1018" s="17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15.75" customHeight="1">
      <c r="A1019" s="16"/>
      <c r="B1019" s="17"/>
      <c r="C1019" s="17"/>
      <c r="D1019" s="17"/>
      <c r="E1019" s="17"/>
      <c r="F1019" s="17"/>
      <c r="G1019" s="17"/>
      <c r="H1019" s="17"/>
      <c r="I1019" s="17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15.75" customHeight="1">
      <c r="A1020" s="16"/>
      <c r="B1020" s="17"/>
      <c r="C1020" s="17"/>
      <c r="D1020" s="17"/>
      <c r="E1020" s="17"/>
      <c r="F1020" s="17"/>
      <c r="G1020" s="17"/>
      <c r="H1020" s="17"/>
      <c r="I1020" s="17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15.75" customHeight="1">
      <c r="A1021" s="16"/>
      <c r="B1021" s="17"/>
      <c r="C1021" s="17"/>
      <c r="D1021" s="17"/>
      <c r="E1021" s="17"/>
      <c r="F1021" s="17"/>
      <c r="G1021" s="17"/>
      <c r="H1021" s="17"/>
      <c r="I1021" s="17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15.75" customHeight="1">
      <c r="A1022" s="16"/>
      <c r="B1022" s="17"/>
      <c r="C1022" s="17"/>
      <c r="D1022" s="17"/>
      <c r="E1022" s="17"/>
      <c r="F1022" s="17"/>
      <c r="G1022" s="17"/>
      <c r="H1022" s="17"/>
      <c r="I1022" s="17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15.75" customHeight="1">
      <c r="A1023" s="16"/>
      <c r="B1023" s="17"/>
      <c r="C1023" s="17"/>
      <c r="D1023" s="17"/>
      <c r="E1023" s="17"/>
      <c r="F1023" s="17"/>
      <c r="G1023" s="17"/>
      <c r="H1023" s="17"/>
      <c r="I1023" s="17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15.75" customHeight="1">
      <c r="A1024" s="16"/>
      <c r="B1024" s="17"/>
      <c r="C1024" s="17"/>
      <c r="D1024" s="17"/>
      <c r="E1024" s="17"/>
      <c r="F1024" s="17"/>
      <c r="G1024" s="17"/>
      <c r="H1024" s="17"/>
      <c r="I1024" s="17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15.75" customHeight="1">
      <c r="A1025" s="16"/>
      <c r="B1025" s="17"/>
      <c r="C1025" s="17"/>
      <c r="D1025" s="17"/>
      <c r="E1025" s="17"/>
      <c r="F1025" s="17"/>
      <c r="G1025" s="17"/>
      <c r="H1025" s="17"/>
      <c r="I1025" s="17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15.75" customHeight="1">
      <c r="A1026" s="16"/>
      <c r="B1026" s="17"/>
      <c r="C1026" s="17"/>
      <c r="D1026" s="17"/>
      <c r="E1026" s="17"/>
      <c r="F1026" s="17"/>
      <c r="G1026" s="17"/>
      <c r="H1026" s="17"/>
      <c r="I1026" s="17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15.75" customHeight="1">
      <c r="A1027" s="16"/>
      <c r="B1027" s="17"/>
      <c r="C1027" s="17"/>
      <c r="D1027" s="17"/>
      <c r="E1027" s="17"/>
      <c r="F1027" s="17"/>
      <c r="G1027" s="17"/>
      <c r="H1027" s="17"/>
      <c r="I1027" s="17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15.75" customHeight="1">
      <c r="A1028" s="16"/>
      <c r="B1028" s="17"/>
      <c r="C1028" s="17"/>
      <c r="D1028" s="17"/>
      <c r="E1028" s="17"/>
      <c r="F1028" s="17"/>
      <c r="G1028" s="17"/>
      <c r="H1028" s="17"/>
      <c r="I1028" s="17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15.75" customHeight="1">
      <c r="A1029" s="16"/>
      <c r="B1029" s="17"/>
      <c r="C1029" s="17"/>
      <c r="D1029" s="17"/>
      <c r="E1029" s="17"/>
      <c r="F1029" s="17"/>
      <c r="G1029" s="17"/>
      <c r="H1029" s="17"/>
      <c r="I1029" s="17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15.75" customHeight="1">
      <c r="A1030" s="16"/>
      <c r="B1030" s="17"/>
      <c r="C1030" s="17"/>
      <c r="D1030" s="17"/>
      <c r="E1030" s="17"/>
      <c r="F1030" s="17"/>
      <c r="G1030" s="17"/>
      <c r="H1030" s="17"/>
      <c r="I1030" s="17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15.75" customHeight="1">
      <c r="A1031" s="16"/>
      <c r="B1031" s="17"/>
      <c r="C1031" s="17"/>
      <c r="D1031" s="17"/>
      <c r="E1031" s="17"/>
      <c r="F1031" s="17"/>
      <c r="G1031" s="17"/>
      <c r="H1031" s="17"/>
      <c r="I1031" s="17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15.75" customHeight="1">
      <c r="A1032" s="16"/>
      <c r="B1032" s="17"/>
      <c r="C1032" s="17"/>
      <c r="D1032" s="17"/>
      <c r="E1032" s="17"/>
      <c r="F1032" s="17"/>
      <c r="G1032" s="17"/>
      <c r="H1032" s="17"/>
      <c r="I1032" s="17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15.75" customHeight="1">
      <c r="A1033" s="16"/>
      <c r="B1033" s="17"/>
      <c r="C1033" s="17"/>
      <c r="D1033" s="17"/>
      <c r="E1033" s="17"/>
      <c r="F1033" s="17"/>
      <c r="G1033" s="17"/>
      <c r="H1033" s="17"/>
      <c r="I1033" s="17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15.75" customHeight="1">
      <c r="A1034" s="16"/>
      <c r="B1034" s="17"/>
      <c r="C1034" s="17"/>
      <c r="D1034" s="17"/>
      <c r="E1034" s="17"/>
      <c r="F1034" s="17"/>
      <c r="G1034" s="17"/>
      <c r="H1034" s="17"/>
      <c r="I1034" s="17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15.75" customHeight="1">
      <c r="A1035" s="16"/>
      <c r="B1035" s="17"/>
      <c r="C1035" s="17"/>
      <c r="D1035" s="17"/>
      <c r="E1035" s="17"/>
      <c r="F1035" s="17"/>
      <c r="G1035" s="17"/>
      <c r="H1035" s="17"/>
      <c r="I1035" s="17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15.75" customHeight="1">
      <c r="A1036" s="16"/>
      <c r="B1036" s="17"/>
      <c r="C1036" s="17"/>
      <c r="D1036" s="17"/>
      <c r="E1036" s="17"/>
      <c r="F1036" s="17"/>
      <c r="G1036" s="17"/>
      <c r="H1036" s="17"/>
      <c r="I1036" s="17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15.75" customHeight="1">
      <c r="A1037" s="16"/>
      <c r="B1037" s="17"/>
      <c r="C1037" s="17"/>
      <c r="D1037" s="17"/>
      <c r="E1037" s="17"/>
      <c r="F1037" s="17"/>
      <c r="G1037" s="17"/>
      <c r="H1037" s="17"/>
      <c r="I1037" s="17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15.75" customHeight="1">
      <c r="A1038" s="16"/>
      <c r="B1038" s="17"/>
      <c r="C1038" s="17"/>
      <c r="D1038" s="17"/>
      <c r="E1038" s="17"/>
      <c r="F1038" s="17"/>
      <c r="G1038" s="17"/>
      <c r="H1038" s="17"/>
      <c r="I1038" s="17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15.75" customHeight="1">
      <c r="A1039" s="16"/>
      <c r="B1039" s="17"/>
      <c r="C1039" s="17"/>
      <c r="D1039" s="17"/>
      <c r="E1039" s="17"/>
      <c r="F1039" s="17"/>
      <c r="G1039" s="17"/>
      <c r="H1039" s="17"/>
      <c r="I1039" s="17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15.75" customHeight="1">
      <c r="A1040" s="16"/>
      <c r="B1040" s="17"/>
      <c r="C1040" s="17"/>
      <c r="D1040" s="17"/>
      <c r="E1040" s="17"/>
      <c r="F1040" s="17"/>
      <c r="G1040" s="17"/>
      <c r="H1040" s="17"/>
      <c r="I1040" s="17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ht="15.75" customHeight="1">
      <c r="A1041" s="16"/>
      <c r="B1041" s="17"/>
      <c r="C1041" s="17"/>
      <c r="D1041" s="17"/>
      <c r="E1041" s="17"/>
      <c r="F1041" s="17"/>
      <c r="G1041" s="17"/>
      <c r="H1041" s="17"/>
      <c r="I1041" s="17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ht="15.75" customHeight="1">
      <c r="A1042" s="16"/>
      <c r="B1042" s="17"/>
      <c r="C1042" s="17"/>
      <c r="D1042" s="17"/>
      <c r="E1042" s="17"/>
      <c r="F1042" s="17"/>
      <c r="G1042" s="17"/>
      <c r="H1042" s="17"/>
      <c r="I1042" s="17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ht="15.75" customHeight="1">
      <c r="A1043" s="16"/>
      <c r="B1043" s="17"/>
      <c r="C1043" s="17"/>
      <c r="D1043" s="17"/>
      <c r="E1043" s="17"/>
      <c r="F1043" s="17"/>
      <c r="G1043" s="17"/>
      <c r="H1043" s="17"/>
      <c r="I1043" s="17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ht="15.75" customHeight="1">
      <c r="A1044" s="16"/>
      <c r="B1044" s="17"/>
      <c r="C1044" s="17"/>
      <c r="D1044" s="17"/>
      <c r="E1044" s="17"/>
      <c r="F1044" s="17"/>
      <c r="G1044" s="17"/>
      <c r="H1044" s="17"/>
      <c r="I1044" s="17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</sheetData>
  <dataValidations>
    <dataValidation type="list" allowBlank="1" sqref="E3:E1044">
      <formula1>"S,M,L,-"</formula1>
    </dataValidation>
    <dataValidation type="list" allowBlank="1" sqref="D3:D1044">
      <formula1>Menu!$A$2:$A$105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0.0"/>
    <col customWidth="1" min="4" max="4" width="12.0"/>
    <col customWidth="1" min="5" max="6" width="14.0"/>
    <col customWidth="1" min="7" max="7" width="28.0"/>
  </cols>
  <sheetData>
    <row r="1" ht="27.75" customHeight="1">
      <c r="A1" s="23" t="s">
        <v>81</v>
      </c>
      <c r="B1" s="24"/>
      <c r="C1" s="24"/>
      <c r="D1" s="24"/>
      <c r="E1" s="24"/>
      <c r="F1" s="24"/>
      <c r="G1" s="2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26" t="s">
        <v>82</v>
      </c>
      <c r="B2" s="26" t="s">
        <v>83</v>
      </c>
      <c r="C2" s="26" t="s">
        <v>84</v>
      </c>
      <c r="D2" s="26" t="s">
        <v>85</v>
      </c>
      <c r="E2" s="26" t="s">
        <v>86</v>
      </c>
      <c r="F2" s="26" t="s">
        <v>87</v>
      </c>
      <c r="G2" s="26" t="s">
        <v>79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7"/>
      <c r="B3" s="27"/>
      <c r="C3" s="27"/>
      <c r="D3" s="27"/>
      <c r="E3" s="27"/>
      <c r="F3" s="27" t="str">
        <f t="shared" ref="F3:F148" si="1">IF(OR(C3="",E3=""),"",C3*E3)</f>
        <v/>
      </c>
      <c r="G3" s="2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8"/>
      <c r="B4" s="28"/>
      <c r="C4" s="28"/>
      <c r="D4" s="28"/>
      <c r="E4" s="28"/>
      <c r="F4" s="28" t="str">
        <f t="shared" si="1"/>
        <v/>
      </c>
      <c r="G4" s="2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7"/>
      <c r="B5" s="27"/>
      <c r="C5" s="27"/>
      <c r="D5" s="27"/>
      <c r="E5" s="27"/>
      <c r="F5" s="27" t="str">
        <f t="shared" si="1"/>
        <v/>
      </c>
      <c r="G5" s="2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8"/>
      <c r="B6" s="28"/>
      <c r="C6" s="28"/>
      <c r="D6" s="28"/>
      <c r="E6" s="28"/>
      <c r="F6" s="28" t="str">
        <f t="shared" si="1"/>
        <v/>
      </c>
      <c r="G6" s="2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7"/>
      <c r="B7" s="27"/>
      <c r="C7" s="27"/>
      <c r="D7" s="27"/>
      <c r="E7" s="27"/>
      <c r="F7" s="27" t="str">
        <f t="shared" si="1"/>
        <v/>
      </c>
      <c r="G7" s="2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8"/>
      <c r="B8" s="28"/>
      <c r="C8" s="28"/>
      <c r="D8" s="28"/>
      <c r="E8" s="28"/>
      <c r="F8" s="28" t="str">
        <f t="shared" si="1"/>
        <v/>
      </c>
      <c r="G8" s="2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7"/>
      <c r="B9" s="27"/>
      <c r="C9" s="27"/>
      <c r="D9" s="27"/>
      <c r="E9" s="27"/>
      <c r="F9" s="27" t="str">
        <f t="shared" si="1"/>
        <v/>
      </c>
      <c r="G9" s="2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8"/>
      <c r="B10" s="28"/>
      <c r="C10" s="28"/>
      <c r="D10" s="28"/>
      <c r="E10" s="28"/>
      <c r="F10" s="28" t="str">
        <f t="shared" si="1"/>
        <v/>
      </c>
      <c r="G10" s="2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7"/>
      <c r="B11" s="27"/>
      <c r="C11" s="27"/>
      <c r="D11" s="27"/>
      <c r="E11" s="27"/>
      <c r="F11" s="27" t="str">
        <f t="shared" si="1"/>
        <v/>
      </c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8"/>
      <c r="B12" s="28"/>
      <c r="C12" s="28"/>
      <c r="D12" s="28"/>
      <c r="E12" s="28"/>
      <c r="F12" s="28" t="str">
        <f t="shared" si="1"/>
        <v/>
      </c>
      <c r="G12" s="2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7"/>
      <c r="B13" s="27"/>
      <c r="C13" s="27"/>
      <c r="D13" s="27"/>
      <c r="E13" s="27"/>
      <c r="F13" s="27" t="str">
        <f t="shared" si="1"/>
        <v/>
      </c>
      <c r="G13" s="2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8"/>
      <c r="B14" s="28"/>
      <c r="C14" s="28"/>
      <c r="D14" s="28"/>
      <c r="E14" s="28"/>
      <c r="F14" s="28" t="str">
        <f t="shared" si="1"/>
        <v/>
      </c>
      <c r="G14" s="2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7"/>
      <c r="B15" s="27"/>
      <c r="C15" s="27"/>
      <c r="D15" s="27"/>
      <c r="E15" s="27"/>
      <c r="F15" s="27" t="str">
        <f t="shared" si="1"/>
        <v/>
      </c>
      <c r="G15" s="2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8"/>
      <c r="B16" s="28"/>
      <c r="C16" s="28"/>
      <c r="D16" s="28"/>
      <c r="E16" s="28"/>
      <c r="F16" s="28" t="str">
        <f t="shared" si="1"/>
        <v/>
      </c>
      <c r="G16" s="2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7"/>
      <c r="B17" s="27"/>
      <c r="C17" s="27"/>
      <c r="D17" s="27"/>
      <c r="E17" s="27"/>
      <c r="F17" s="27" t="str">
        <f t="shared" si="1"/>
        <v/>
      </c>
      <c r="G17" s="2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8"/>
      <c r="B18" s="28"/>
      <c r="C18" s="28"/>
      <c r="D18" s="28"/>
      <c r="E18" s="28"/>
      <c r="F18" s="28" t="str">
        <f t="shared" si="1"/>
        <v/>
      </c>
      <c r="G18" s="2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7"/>
      <c r="B19" s="27"/>
      <c r="C19" s="27"/>
      <c r="D19" s="27"/>
      <c r="E19" s="27"/>
      <c r="F19" s="27" t="str">
        <f t="shared" si="1"/>
        <v/>
      </c>
      <c r="G19" s="2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8"/>
      <c r="B20" s="28"/>
      <c r="C20" s="28"/>
      <c r="D20" s="28"/>
      <c r="E20" s="28"/>
      <c r="F20" s="28" t="str">
        <f t="shared" si="1"/>
        <v/>
      </c>
      <c r="G20" s="2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7"/>
      <c r="B21" s="27"/>
      <c r="C21" s="27"/>
      <c r="D21" s="27"/>
      <c r="E21" s="27"/>
      <c r="F21" s="27" t="str">
        <f t="shared" si="1"/>
        <v/>
      </c>
      <c r="G21" s="2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8"/>
      <c r="B22" s="28"/>
      <c r="C22" s="28"/>
      <c r="D22" s="28"/>
      <c r="E22" s="28"/>
      <c r="F22" s="28" t="str">
        <f t="shared" si="1"/>
        <v/>
      </c>
      <c r="G22" s="2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7"/>
      <c r="B23" s="27"/>
      <c r="C23" s="27"/>
      <c r="D23" s="27"/>
      <c r="E23" s="27"/>
      <c r="F23" s="27" t="str">
        <f t="shared" si="1"/>
        <v/>
      </c>
      <c r="G23" s="2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8"/>
      <c r="B24" s="28"/>
      <c r="C24" s="28"/>
      <c r="D24" s="28"/>
      <c r="E24" s="28"/>
      <c r="F24" s="28" t="str">
        <f t="shared" si="1"/>
        <v/>
      </c>
      <c r="G24" s="2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7"/>
      <c r="B25" s="27"/>
      <c r="C25" s="27"/>
      <c r="D25" s="27"/>
      <c r="E25" s="27"/>
      <c r="F25" s="27" t="str">
        <f t="shared" si="1"/>
        <v/>
      </c>
      <c r="G25" s="2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8"/>
      <c r="B26" s="28"/>
      <c r="C26" s="28"/>
      <c r="D26" s="28"/>
      <c r="E26" s="28"/>
      <c r="F26" s="28" t="str">
        <f t="shared" si="1"/>
        <v/>
      </c>
      <c r="G26" s="2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7"/>
      <c r="B27" s="27"/>
      <c r="C27" s="27"/>
      <c r="D27" s="27"/>
      <c r="E27" s="27"/>
      <c r="F27" s="27" t="str">
        <f t="shared" si="1"/>
        <v/>
      </c>
      <c r="G27" s="2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8"/>
      <c r="B28" s="28"/>
      <c r="C28" s="28"/>
      <c r="D28" s="28"/>
      <c r="E28" s="28"/>
      <c r="F28" s="28" t="str">
        <f t="shared" si="1"/>
        <v/>
      </c>
      <c r="G28" s="2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7"/>
      <c r="B29" s="27"/>
      <c r="C29" s="27"/>
      <c r="D29" s="27"/>
      <c r="E29" s="27"/>
      <c r="F29" s="27" t="str">
        <f t="shared" si="1"/>
        <v/>
      </c>
      <c r="G29" s="2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8"/>
      <c r="B30" s="28"/>
      <c r="C30" s="28"/>
      <c r="D30" s="28"/>
      <c r="E30" s="28"/>
      <c r="F30" s="28" t="str">
        <f t="shared" si="1"/>
        <v/>
      </c>
      <c r="G30" s="2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7"/>
      <c r="B31" s="27"/>
      <c r="C31" s="27"/>
      <c r="D31" s="27"/>
      <c r="E31" s="27"/>
      <c r="F31" s="27" t="str">
        <f t="shared" si="1"/>
        <v/>
      </c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8"/>
      <c r="B32" s="28"/>
      <c r="C32" s="28"/>
      <c r="D32" s="28"/>
      <c r="E32" s="28"/>
      <c r="F32" s="28" t="str">
        <f t="shared" si="1"/>
        <v/>
      </c>
      <c r="G32" s="2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7"/>
      <c r="B33" s="27"/>
      <c r="C33" s="27"/>
      <c r="D33" s="27"/>
      <c r="E33" s="27"/>
      <c r="F33" s="27" t="str">
        <f t="shared" si="1"/>
        <v/>
      </c>
      <c r="G33" s="2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8"/>
      <c r="B34" s="28"/>
      <c r="C34" s="28"/>
      <c r="D34" s="28"/>
      <c r="E34" s="28"/>
      <c r="F34" s="28" t="str">
        <f t="shared" si="1"/>
        <v/>
      </c>
      <c r="G34" s="2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7"/>
      <c r="B35" s="27"/>
      <c r="C35" s="27"/>
      <c r="D35" s="27"/>
      <c r="E35" s="27"/>
      <c r="F35" s="27" t="str">
        <f t="shared" si="1"/>
        <v/>
      </c>
      <c r="G35" s="2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8"/>
      <c r="B36" s="28"/>
      <c r="C36" s="28"/>
      <c r="D36" s="28"/>
      <c r="E36" s="28"/>
      <c r="F36" s="28" t="str">
        <f t="shared" si="1"/>
        <v/>
      </c>
      <c r="G36" s="2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7"/>
      <c r="B37" s="27"/>
      <c r="C37" s="27"/>
      <c r="D37" s="27"/>
      <c r="E37" s="27"/>
      <c r="F37" s="27" t="str">
        <f t="shared" si="1"/>
        <v/>
      </c>
      <c r="G37" s="2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8"/>
      <c r="B38" s="28"/>
      <c r="C38" s="28"/>
      <c r="D38" s="28"/>
      <c r="E38" s="28"/>
      <c r="F38" s="28" t="str">
        <f t="shared" si="1"/>
        <v/>
      </c>
      <c r="G38" s="2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7"/>
      <c r="B39" s="27"/>
      <c r="C39" s="27"/>
      <c r="D39" s="27"/>
      <c r="E39" s="27"/>
      <c r="F39" s="27" t="str">
        <f t="shared" si="1"/>
        <v/>
      </c>
      <c r="G39" s="2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8"/>
      <c r="B40" s="28"/>
      <c r="C40" s="28"/>
      <c r="D40" s="28"/>
      <c r="E40" s="28"/>
      <c r="F40" s="28" t="str">
        <f t="shared" si="1"/>
        <v/>
      </c>
      <c r="G40" s="2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7"/>
      <c r="B41" s="27"/>
      <c r="C41" s="27"/>
      <c r="D41" s="27"/>
      <c r="E41" s="27"/>
      <c r="F41" s="27" t="str">
        <f t="shared" si="1"/>
        <v/>
      </c>
      <c r="G41" s="2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8"/>
      <c r="B42" s="28"/>
      <c r="C42" s="28"/>
      <c r="D42" s="28"/>
      <c r="E42" s="28"/>
      <c r="F42" s="28" t="str">
        <f t="shared" si="1"/>
        <v/>
      </c>
      <c r="G42" s="2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7"/>
      <c r="B43" s="27"/>
      <c r="C43" s="27"/>
      <c r="D43" s="27"/>
      <c r="E43" s="27"/>
      <c r="F43" s="27" t="str">
        <f t="shared" si="1"/>
        <v/>
      </c>
      <c r="G43" s="2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8"/>
      <c r="B44" s="28"/>
      <c r="C44" s="28"/>
      <c r="D44" s="28"/>
      <c r="E44" s="28"/>
      <c r="F44" s="28" t="str">
        <f t="shared" si="1"/>
        <v/>
      </c>
      <c r="G44" s="2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7"/>
      <c r="B45" s="27"/>
      <c r="C45" s="27"/>
      <c r="D45" s="27"/>
      <c r="E45" s="27"/>
      <c r="F45" s="27" t="str">
        <f t="shared" si="1"/>
        <v/>
      </c>
      <c r="G45" s="2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8"/>
      <c r="B46" s="28"/>
      <c r="C46" s="28"/>
      <c r="D46" s="28"/>
      <c r="E46" s="28"/>
      <c r="F46" s="28" t="str">
        <f t="shared" si="1"/>
        <v/>
      </c>
      <c r="G46" s="2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7"/>
      <c r="B47" s="27"/>
      <c r="C47" s="27"/>
      <c r="D47" s="27"/>
      <c r="E47" s="27"/>
      <c r="F47" s="27" t="str">
        <f t="shared" si="1"/>
        <v/>
      </c>
      <c r="G47" s="2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8"/>
      <c r="B48" s="28"/>
      <c r="C48" s="28"/>
      <c r="D48" s="28"/>
      <c r="E48" s="28"/>
      <c r="F48" s="28" t="str">
        <f t="shared" si="1"/>
        <v/>
      </c>
      <c r="G48" s="2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7"/>
      <c r="B49" s="27"/>
      <c r="C49" s="27"/>
      <c r="D49" s="27"/>
      <c r="E49" s="27"/>
      <c r="F49" s="27" t="str">
        <f t="shared" si="1"/>
        <v/>
      </c>
      <c r="G49" s="2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8"/>
      <c r="B50" s="28"/>
      <c r="C50" s="28"/>
      <c r="D50" s="28"/>
      <c r="E50" s="28"/>
      <c r="F50" s="28" t="str">
        <f t="shared" si="1"/>
        <v/>
      </c>
      <c r="G50" s="2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7"/>
      <c r="B51" s="27"/>
      <c r="C51" s="27"/>
      <c r="D51" s="27"/>
      <c r="E51" s="27"/>
      <c r="F51" s="27" t="str">
        <f t="shared" si="1"/>
        <v/>
      </c>
      <c r="G51" s="2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8"/>
      <c r="B52" s="28"/>
      <c r="C52" s="28"/>
      <c r="D52" s="28"/>
      <c r="E52" s="28"/>
      <c r="F52" s="28" t="str">
        <f t="shared" si="1"/>
        <v/>
      </c>
      <c r="G52" s="2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7"/>
      <c r="B53" s="27"/>
      <c r="C53" s="27"/>
      <c r="D53" s="27"/>
      <c r="E53" s="27"/>
      <c r="F53" s="27" t="str">
        <f t="shared" si="1"/>
        <v/>
      </c>
      <c r="G53" s="2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8"/>
      <c r="B54" s="28"/>
      <c r="C54" s="28"/>
      <c r="D54" s="28"/>
      <c r="E54" s="28"/>
      <c r="F54" s="28" t="str">
        <f t="shared" si="1"/>
        <v/>
      </c>
      <c r="G54" s="2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7"/>
      <c r="B55" s="27"/>
      <c r="C55" s="27"/>
      <c r="D55" s="27"/>
      <c r="E55" s="27"/>
      <c r="F55" s="27" t="str">
        <f t="shared" si="1"/>
        <v/>
      </c>
      <c r="G55" s="2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8"/>
      <c r="B56" s="28"/>
      <c r="C56" s="28"/>
      <c r="D56" s="28"/>
      <c r="E56" s="28"/>
      <c r="F56" s="28" t="str">
        <f t="shared" si="1"/>
        <v/>
      </c>
      <c r="G56" s="2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7"/>
      <c r="B57" s="27"/>
      <c r="C57" s="27"/>
      <c r="D57" s="27"/>
      <c r="E57" s="27"/>
      <c r="F57" s="27" t="str">
        <f t="shared" si="1"/>
        <v/>
      </c>
      <c r="G57" s="2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8"/>
      <c r="B58" s="28"/>
      <c r="C58" s="28"/>
      <c r="D58" s="28"/>
      <c r="E58" s="28"/>
      <c r="F58" s="28" t="str">
        <f t="shared" si="1"/>
        <v/>
      </c>
      <c r="G58" s="2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7"/>
      <c r="B59" s="27"/>
      <c r="C59" s="27"/>
      <c r="D59" s="27"/>
      <c r="E59" s="27"/>
      <c r="F59" s="27" t="str">
        <f t="shared" si="1"/>
        <v/>
      </c>
      <c r="G59" s="2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8"/>
      <c r="B60" s="28"/>
      <c r="C60" s="28"/>
      <c r="D60" s="28"/>
      <c r="E60" s="28"/>
      <c r="F60" s="28" t="str">
        <f t="shared" si="1"/>
        <v/>
      </c>
      <c r="G60" s="2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7"/>
      <c r="B61" s="27"/>
      <c r="C61" s="27"/>
      <c r="D61" s="27"/>
      <c r="E61" s="27"/>
      <c r="F61" s="27" t="str">
        <f t="shared" si="1"/>
        <v/>
      </c>
      <c r="G61" s="2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8"/>
      <c r="B62" s="28"/>
      <c r="C62" s="28"/>
      <c r="D62" s="28"/>
      <c r="E62" s="28"/>
      <c r="F62" s="28" t="str">
        <f t="shared" si="1"/>
        <v/>
      </c>
      <c r="G62" s="2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7"/>
      <c r="B63" s="27"/>
      <c r="C63" s="27"/>
      <c r="D63" s="27"/>
      <c r="E63" s="27"/>
      <c r="F63" s="27" t="str">
        <f t="shared" si="1"/>
        <v/>
      </c>
      <c r="G63" s="2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8"/>
      <c r="B64" s="28"/>
      <c r="C64" s="28"/>
      <c r="D64" s="28"/>
      <c r="E64" s="28"/>
      <c r="F64" s="28" t="str">
        <f t="shared" si="1"/>
        <v/>
      </c>
      <c r="G64" s="2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7"/>
      <c r="B65" s="27"/>
      <c r="C65" s="27"/>
      <c r="D65" s="27"/>
      <c r="E65" s="27"/>
      <c r="F65" s="27" t="str">
        <f t="shared" si="1"/>
        <v/>
      </c>
      <c r="G65" s="2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8"/>
      <c r="B66" s="28"/>
      <c r="C66" s="28"/>
      <c r="D66" s="28"/>
      <c r="E66" s="28"/>
      <c r="F66" s="28" t="str">
        <f t="shared" si="1"/>
        <v/>
      </c>
      <c r="G66" s="2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7"/>
      <c r="B67" s="27"/>
      <c r="C67" s="27"/>
      <c r="D67" s="27"/>
      <c r="E67" s="27"/>
      <c r="F67" s="27" t="str">
        <f t="shared" si="1"/>
        <v/>
      </c>
      <c r="G67" s="2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8"/>
      <c r="B68" s="28"/>
      <c r="C68" s="28"/>
      <c r="D68" s="28"/>
      <c r="E68" s="28"/>
      <c r="F68" s="28" t="str">
        <f t="shared" si="1"/>
        <v/>
      </c>
      <c r="G68" s="2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7"/>
      <c r="B69" s="27"/>
      <c r="C69" s="27"/>
      <c r="D69" s="27"/>
      <c r="E69" s="27"/>
      <c r="F69" s="27" t="str">
        <f t="shared" si="1"/>
        <v/>
      </c>
      <c r="G69" s="2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8"/>
      <c r="B70" s="28"/>
      <c r="C70" s="28"/>
      <c r="D70" s="28"/>
      <c r="E70" s="28"/>
      <c r="F70" s="28" t="str">
        <f t="shared" si="1"/>
        <v/>
      </c>
      <c r="G70" s="2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7"/>
      <c r="B71" s="27"/>
      <c r="C71" s="27"/>
      <c r="D71" s="27"/>
      <c r="E71" s="27"/>
      <c r="F71" s="27" t="str">
        <f t="shared" si="1"/>
        <v/>
      </c>
      <c r="G71" s="2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8"/>
      <c r="B72" s="28"/>
      <c r="C72" s="28"/>
      <c r="D72" s="28"/>
      <c r="E72" s="28"/>
      <c r="F72" s="28" t="str">
        <f t="shared" si="1"/>
        <v/>
      </c>
      <c r="G72" s="2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7"/>
      <c r="B73" s="27"/>
      <c r="C73" s="27"/>
      <c r="D73" s="27"/>
      <c r="E73" s="27"/>
      <c r="F73" s="27" t="str">
        <f t="shared" si="1"/>
        <v/>
      </c>
      <c r="G73" s="2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8"/>
      <c r="B74" s="28"/>
      <c r="C74" s="28"/>
      <c r="D74" s="28"/>
      <c r="E74" s="28"/>
      <c r="F74" s="28" t="str">
        <f t="shared" si="1"/>
        <v/>
      </c>
      <c r="G74" s="2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7"/>
      <c r="B75" s="27"/>
      <c r="C75" s="27"/>
      <c r="D75" s="27"/>
      <c r="E75" s="27"/>
      <c r="F75" s="27" t="str">
        <f t="shared" si="1"/>
        <v/>
      </c>
      <c r="G75" s="2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8"/>
      <c r="B76" s="28"/>
      <c r="C76" s="28"/>
      <c r="D76" s="28"/>
      <c r="E76" s="28"/>
      <c r="F76" s="28" t="str">
        <f t="shared" si="1"/>
        <v/>
      </c>
      <c r="G76" s="2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7"/>
      <c r="B77" s="27"/>
      <c r="C77" s="27"/>
      <c r="D77" s="27"/>
      <c r="E77" s="27"/>
      <c r="F77" s="27" t="str">
        <f t="shared" si="1"/>
        <v/>
      </c>
      <c r="G77" s="2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8"/>
      <c r="B78" s="28"/>
      <c r="C78" s="28"/>
      <c r="D78" s="28"/>
      <c r="E78" s="28"/>
      <c r="F78" s="28" t="str">
        <f t="shared" si="1"/>
        <v/>
      </c>
      <c r="G78" s="2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7"/>
      <c r="B79" s="27"/>
      <c r="C79" s="27"/>
      <c r="D79" s="27"/>
      <c r="E79" s="27"/>
      <c r="F79" s="27" t="str">
        <f t="shared" si="1"/>
        <v/>
      </c>
      <c r="G79" s="2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8"/>
      <c r="B80" s="28"/>
      <c r="C80" s="28"/>
      <c r="D80" s="28"/>
      <c r="E80" s="28"/>
      <c r="F80" s="28" t="str">
        <f t="shared" si="1"/>
        <v/>
      </c>
      <c r="G80" s="2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7"/>
      <c r="B81" s="27"/>
      <c r="C81" s="27"/>
      <c r="D81" s="27"/>
      <c r="E81" s="27"/>
      <c r="F81" s="27" t="str">
        <f t="shared" si="1"/>
        <v/>
      </c>
      <c r="G81" s="2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8"/>
      <c r="B82" s="28"/>
      <c r="C82" s="28"/>
      <c r="D82" s="28"/>
      <c r="E82" s="28"/>
      <c r="F82" s="28" t="str">
        <f t="shared" si="1"/>
        <v/>
      </c>
      <c r="G82" s="2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7"/>
      <c r="B83" s="27"/>
      <c r="C83" s="27"/>
      <c r="D83" s="27"/>
      <c r="E83" s="27"/>
      <c r="F83" s="27" t="str">
        <f t="shared" si="1"/>
        <v/>
      </c>
      <c r="G83" s="2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8"/>
      <c r="B84" s="28"/>
      <c r="C84" s="28"/>
      <c r="D84" s="28"/>
      <c r="E84" s="28"/>
      <c r="F84" s="28" t="str">
        <f t="shared" si="1"/>
        <v/>
      </c>
      <c r="G84" s="2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7"/>
      <c r="B85" s="27"/>
      <c r="C85" s="27"/>
      <c r="D85" s="27"/>
      <c r="E85" s="27"/>
      <c r="F85" s="27" t="str">
        <f t="shared" si="1"/>
        <v/>
      </c>
      <c r="G85" s="2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8"/>
      <c r="B86" s="28"/>
      <c r="C86" s="28"/>
      <c r="D86" s="28"/>
      <c r="E86" s="28"/>
      <c r="F86" s="28" t="str">
        <f t="shared" si="1"/>
        <v/>
      </c>
      <c r="G86" s="2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7"/>
      <c r="B87" s="27"/>
      <c r="C87" s="27"/>
      <c r="D87" s="27"/>
      <c r="E87" s="27"/>
      <c r="F87" s="27" t="str">
        <f t="shared" si="1"/>
        <v/>
      </c>
      <c r="G87" s="2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8"/>
      <c r="B88" s="28"/>
      <c r="C88" s="28"/>
      <c r="D88" s="28"/>
      <c r="E88" s="28"/>
      <c r="F88" s="28" t="str">
        <f t="shared" si="1"/>
        <v/>
      </c>
      <c r="G88" s="2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7"/>
      <c r="B89" s="27"/>
      <c r="C89" s="27"/>
      <c r="D89" s="27"/>
      <c r="E89" s="27"/>
      <c r="F89" s="27" t="str">
        <f t="shared" si="1"/>
        <v/>
      </c>
      <c r="G89" s="2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8"/>
      <c r="B90" s="28"/>
      <c r="C90" s="28"/>
      <c r="D90" s="28"/>
      <c r="E90" s="28"/>
      <c r="F90" s="28" t="str">
        <f t="shared" si="1"/>
        <v/>
      </c>
      <c r="G90" s="2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7"/>
      <c r="B91" s="27"/>
      <c r="C91" s="27"/>
      <c r="D91" s="27"/>
      <c r="E91" s="27"/>
      <c r="F91" s="27" t="str">
        <f t="shared" si="1"/>
        <v/>
      </c>
      <c r="G91" s="2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8"/>
      <c r="B92" s="28"/>
      <c r="C92" s="28"/>
      <c r="D92" s="28"/>
      <c r="E92" s="28"/>
      <c r="F92" s="28" t="str">
        <f t="shared" si="1"/>
        <v/>
      </c>
      <c r="G92" s="2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7"/>
      <c r="B93" s="27"/>
      <c r="C93" s="27"/>
      <c r="D93" s="27"/>
      <c r="E93" s="27"/>
      <c r="F93" s="27" t="str">
        <f t="shared" si="1"/>
        <v/>
      </c>
      <c r="G93" s="2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8"/>
      <c r="B94" s="28"/>
      <c r="C94" s="28"/>
      <c r="D94" s="28"/>
      <c r="E94" s="28"/>
      <c r="F94" s="28" t="str">
        <f t="shared" si="1"/>
        <v/>
      </c>
      <c r="G94" s="2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7"/>
      <c r="B95" s="27"/>
      <c r="C95" s="27"/>
      <c r="D95" s="27"/>
      <c r="E95" s="27"/>
      <c r="F95" s="27" t="str">
        <f t="shared" si="1"/>
        <v/>
      </c>
      <c r="G95" s="2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8"/>
      <c r="B96" s="28"/>
      <c r="C96" s="28"/>
      <c r="D96" s="28"/>
      <c r="E96" s="28"/>
      <c r="F96" s="28" t="str">
        <f t="shared" si="1"/>
        <v/>
      </c>
      <c r="G96" s="2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7"/>
      <c r="B97" s="27"/>
      <c r="C97" s="27"/>
      <c r="D97" s="27"/>
      <c r="E97" s="27"/>
      <c r="F97" s="27" t="str">
        <f t="shared" si="1"/>
        <v/>
      </c>
      <c r="G97" s="2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8"/>
      <c r="B98" s="28"/>
      <c r="C98" s="28"/>
      <c r="D98" s="28"/>
      <c r="E98" s="28"/>
      <c r="F98" s="28" t="str">
        <f t="shared" si="1"/>
        <v/>
      </c>
      <c r="G98" s="2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7"/>
      <c r="B99" s="27"/>
      <c r="C99" s="27"/>
      <c r="D99" s="27"/>
      <c r="E99" s="27"/>
      <c r="F99" s="27" t="str">
        <f t="shared" si="1"/>
        <v/>
      </c>
      <c r="G99" s="2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8"/>
      <c r="B100" s="28"/>
      <c r="C100" s="28"/>
      <c r="D100" s="28"/>
      <c r="E100" s="28"/>
      <c r="F100" s="28" t="str">
        <f t="shared" si="1"/>
        <v/>
      </c>
      <c r="G100" s="2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7"/>
      <c r="B101" s="27"/>
      <c r="C101" s="27"/>
      <c r="D101" s="27"/>
      <c r="E101" s="27"/>
      <c r="F101" s="27" t="str">
        <f t="shared" si="1"/>
        <v/>
      </c>
      <c r="G101" s="2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8"/>
      <c r="B102" s="28"/>
      <c r="C102" s="28"/>
      <c r="D102" s="28"/>
      <c r="E102" s="28"/>
      <c r="F102" s="28" t="str">
        <f t="shared" si="1"/>
        <v/>
      </c>
      <c r="G102" s="2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7"/>
      <c r="B103" s="27"/>
      <c r="C103" s="27"/>
      <c r="D103" s="27"/>
      <c r="E103" s="27"/>
      <c r="F103" s="27" t="str">
        <f t="shared" si="1"/>
        <v/>
      </c>
      <c r="G103" s="2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8"/>
      <c r="B104" s="28"/>
      <c r="C104" s="28"/>
      <c r="D104" s="28"/>
      <c r="E104" s="28"/>
      <c r="F104" s="28" t="str">
        <f t="shared" si="1"/>
        <v/>
      </c>
      <c r="G104" s="2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7"/>
      <c r="B105" s="27"/>
      <c r="C105" s="27"/>
      <c r="D105" s="27"/>
      <c r="E105" s="27"/>
      <c r="F105" s="27" t="str">
        <f t="shared" si="1"/>
        <v/>
      </c>
      <c r="G105" s="2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8"/>
      <c r="B106" s="28"/>
      <c r="C106" s="28"/>
      <c r="D106" s="28"/>
      <c r="E106" s="28"/>
      <c r="F106" s="28" t="str">
        <f t="shared" si="1"/>
        <v/>
      </c>
      <c r="G106" s="2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7"/>
      <c r="B107" s="27"/>
      <c r="C107" s="27"/>
      <c r="D107" s="27"/>
      <c r="E107" s="27"/>
      <c r="F107" s="27" t="str">
        <f t="shared" si="1"/>
        <v/>
      </c>
      <c r="G107" s="2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8"/>
      <c r="B108" s="28"/>
      <c r="C108" s="28"/>
      <c r="D108" s="28"/>
      <c r="E108" s="28"/>
      <c r="F108" s="28" t="str">
        <f t="shared" si="1"/>
        <v/>
      </c>
      <c r="G108" s="2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7"/>
      <c r="B109" s="27"/>
      <c r="C109" s="27"/>
      <c r="D109" s="27"/>
      <c r="E109" s="27"/>
      <c r="F109" s="27" t="str">
        <f t="shared" si="1"/>
        <v/>
      </c>
      <c r="G109" s="2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8"/>
      <c r="B110" s="28"/>
      <c r="C110" s="28"/>
      <c r="D110" s="28"/>
      <c r="E110" s="28"/>
      <c r="F110" s="28" t="str">
        <f t="shared" si="1"/>
        <v/>
      </c>
      <c r="G110" s="2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7"/>
      <c r="B111" s="27"/>
      <c r="C111" s="27"/>
      <c r="D111" s="27"/>
      <c r="E111" s="27"/>
      <c r="F111" s="27" t="str">
        <f t="shared" si="1"/>
        <v/>
      </c>
      <c r="G111" s="2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8"/>
      <c r="B112" s="28"/>
      <c r="C112" s="28"/>
      <c r="D112" s="28"/>
      <c r="E112" s="28"/>
      <c r="F112" s="28" t="str">
        <f t="shared" si="1"/>
        <v/>
      </c>
      <c r="G112" s="2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7"/>
      <c r="B113" s="27"/>
      <c r="C113" s="27"/>
      <c r="D113" s="27"/>
      <c r="E113" s="27"/>
      <c r="F113" s="27" t="str">
        <f t="shared" si="1"/>
        <v/>
      </c>
      <c r="G113" s="2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8"/>
      <c r="B114" s="28"/>
      <c r="C114" s="28"/>
      <c r="D114" s="28"/>
      <c r="E114" s="28"/>
      <c r="F114" s="28" t="str">
        <f t="shared" si="1"/>
        <v/>
      </c>
      <c r="G114" s="2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7"/>
      <c r="B115" s="27"/>
      <c r="C115" s="27"/>
      <c r="D115" s="27"/>
      <c r="E115" s="27"/>
      <c r="F115" s="27" t="str">
        <f t="shared" si="1"/>
        <v/>
      </c>
      <c r="G115" s="2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8"/>
      <c r="B116" s="28"/>
      <c r="C116" s="28"/>
      <c r="D116" s="28"/>
      <c r="E116" s="28"/>
      <c r="F116" s="28" t="str">
        <f t="shared" si="1"/>
        <v/>
      </c>
      <c r="G116" s="2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7"/>
      <c r="B117" s="27"/>
      <c r="C117" s="27"/>
      <c r="D117" s="27"/>
      <c r="E117" s="27"/>
      <c r="F117" s="27" t="str">
        <f t="shared" si="1"/>
        <v/>
      </c>
      <c r="G117" s="2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8"/>
      <c r="B118" s="28"/>
      <c r="C118" s="28"/>
      <c r="D118" s="28"/>
      <c r="E118" s="28"/>
      <c r="F118" s="28" t="str">
        <f t="shared" si="1"/>
        <v/>
      </c>
      <c r="G118" s="2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7"/>
      <c r="B119" s="27"/>
      <c r="C119" s="27"/>
      <c r="D119" s="27"/>
      <c r="E119" s="27"/>
      <c r="F119" s="27" t="str">
        <f t="shared" si="1"/>
        <v/>
      </c>
      <c r="G119" s="2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8"/>
      <c r="B120" s="28"/>
      <c r="C120" s="28"/>
      <c r="D120" s="28"/>
      <c r="E120" s="28"/>
      <c r="F120" s="28" t="str">
        <f t="shared" si="1"/>
        <v/>
      </c>
      <c r="G120" s="2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7"/>
      <c r="B121" s="27"/>
      <c r="C121" s="27"/>
      <c r="D121" s="27"/>
      <c r="E121" s="27"/>
      <c r="F121" s="27" t="str">
        <f t="shared" si="1"/>
        <v/>
      </c>
      <c r="G121" s="2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8"/>
      <c r="B122" s="28"/>
      <c r="C122" s="28"/>
      <c r="D122" s="28"/>
      <c r="E122" s="28"/>
      <c r="F122" s="28" t="str">
        <f t="shared" si="1"/>
        <v/>
      </c>
      <c r="G122" s="2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7"/>
      <c r="B123" s="27"/>
      <c r="C123" s="27"/>
      <c r="D123" s="27"/>
      <c r="E123" s="27"/>
      <c r="F123" s="27" t="str">
        <f t="shared" si="1"/>
        <v/>
      </c>
      <c r="G123" s="2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8"/>
      <c r="B124" s="28"/>
      <c r="C124" s="28"/>
      <c r="D124" s="28"/>
      <c r="E124" s="28"/>
      <c r="F124" s="28" t="str">
        <f t="shared" si="1"/>
        <v/>
      </c>
      <c r="G124" s="2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7"/>
      <c r="B125" s="27"/>
      <c r="C125" s="27"/>
      <c r="D125" s="27"/>
      <c r="E125" s="27"/>
      <c r="F125" s="27" t="str">
        <f t="shared" si="1"/>
        <v/>
      </c>
      <c r="G125" s="2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8"/>
      <c r="B126" s="28"/>
      <c r="C126" s="28"/>
      <c r="D126" s="28"/>
      <c r="E126" s="28"/>
      <c r="F126" s="28" t="str">
        <f t="shared" si="1"/>
        <v/>
      </c>
      <c r="G126" s="2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7"/>
      <c r="B127" s="27"/>
      <c r="C127" s="27"/>
      <c r="D127" s="27"/>
      <c r="E127" s="27"/>
      <c r="F127" s="27" t="str">
        <f t="shared" si="1"/>
        <v/>
      </c>
      <c r="G127" s="2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8"/>
      <c r="B128" s="28"/>
      <c r="C128" s="28"/>
      <c r="D128" s="28"/>
      <c r="E128" s="28"/>
      <c r="F128" s="28" t="str">
        <f t="shared" si="1"/>
        <v/>
      </c>
      <c r="G128" s="2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7"/>
      <c r="B129" s="27"/>
      <c r="C129" s="27"/>
      <c r="D129" s="27"/>
      <c r="E129" s="27"/>
      <c r="F129" s="27" t="str">
        <f t="shared" si="1"/>
        <v/>
      </c>
      <c r="G129" s="2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8"/>
      <c r="B130" s="28"/>
      <c r="C130" s="28"/>
      <c r="D130" s="28"/>
      <c r="E130" s="28"/>
      <c r="F130" s="28" t="str">
        <f t="shared" si="1"/>
        <v/>
      </c>
      <c r="G130" s="2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7"/>
      <c r="B131" s="27"/>
      <c r="C131" s="27"/>
      <c r="D131" s="27"/>
      <c r="E131" s="27"/>
      <c r="F131" s="27" t="str">
        <f t="shared" si="1"/>
        <v/>
      </c>
      <c r="G131" s="2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8"/>
      <c r="B132" s="28"/>
      <c r="C132" s="28"/>
      <c r="D132" s="28"/>
      <c r="E132" s="28"/>
      <c r="F132" s="28" t="str">
        <f t="shared" si="1"/>
        <v/>
      </c>
      <c r="G132" s="2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7"/>
      <c r="B133" s="27"/>
      <c r="C133" s="27"/>
      <c r="D133" s="27"/>
      <c r="E133" s="27"/>
      <c r="F133" s="27" t="str">
        <f t="shared" si="1"/>
        <v/>
      </c>
      <c r="G133" s="2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8"/>
      <c r="B134" s="28"/>
      <c r="C134" s="28"/>
      <c r="D134" s="28"/>
      <c r="E134" s="28"/>
      <c r="F134" s="28" t="str">
        <f t="shared" si="1"/>
        <v/>
      </c>
      <c r="G134" s="2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7"/>
      <c r="B135" s="27"/>
      <c r="C135" s="27"/>
      <c r="D135" s="27"/>
      <c r="E135" s="27"/>
      <c r="F135" s="27" t="str">
        <f t="shared" si="1"/>
        <v/>
      </c>
      <c r="G135" s="2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8"/>
      <c r="B136" s="28"/>
      <c r="C136" s="28"/>
      <c r="D136" s="28"/>
      <c r="E136" s="28"/>
      <c r="F136" s="28" t="str">
        <f t="shared" si="1"/>
        <v/>
      </c>
      <c r="G136" s="2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7"/>
      <c r="B137" s="27"/>
      <c r="C137" s="27"/>
      <c r="D137" s="27"/>
      <c r="E137" s="27"/>
      <c r="F137" s="27" t="str">
        <f t="shared" si="1"/>
        <v/>
      </c>
      <c r="G137" s="2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8"/>
      <c r="B138" s="28"/>
      <c r="C138" s="28"/>
      <c r="D138" s="28"/>
      <c r="E138" s="28"/>
      <c r="F138" s="28" t="str">
        <f t="shared" si="1"/>
        <v/>
      </c>
      <c r="G138" s="2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7"/>
      <c r="B139" s="27"/>
      <c r="C139" s="27"/>
      <c r="D139" s="27"/>
      <c r="E139" s="27"/>
      <c r="F139" s="27" t="str">
        <f t="shared" si="1"/>
        <v/>
      </c>
      <c r="G139" s="2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8"/>
      <c r="B140" s="28"/>
      <c r="C140" s="28"/>
      <c r="D140" s="28"/>
      <c r="E140" s="28"/>
      <c r="F140" s="28" t="str">
        <f t="shared" si="1"/>
        <v/>
      </c>
      <c r="G140" s="2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7"/>
      <c r="B141" s="27"/>
      <c r="C141" s="27"/>
      <c r="D141" s="27"/>
      <c r="E141" s="27"/>
      <c r="F141" s="27" t="str">
        <f t="shared" si="1"/>
        <v/>
      </c>
      <c r="G141" s="2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8"/>
      <c r="B142" s="28"/>
      <c r="C142" s="28"/>
      <c r="D142" s="28"/>
      <c r="E142" s="28"/>
      <c r="F142" s="28" t="str">
        <f t="shared" si="1"/>
        <v/>
      </c>
      <c r="G142" s="2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7"/>
      <c r="B143" s="27"/>
      <c r="C143" s="27"/>
      <c r="D143" s="27"/>
      <c r="E143" s="27"/>
      <c r="F143" s="27" t="str">
        <f t="shared" si="1"/>
        <v/>
      </c>
      <c r="G143" s="2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8"/>
      <c r="B144" s="28"/>
      <c r="C144" s="28"/>
      <c r="D144" s="28"/>
      <c r="E144" s="28"/>
      <c r="F144" s="28" t="str">
        <f t="shared" si="1"/>
        <v/>
      </c>
      <c r="G144" s="2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7"/>
      <c r="B145" s="27"/>
      <c r="C145" s="27"/>
      <c r="D145" s="27"/>
      <c r="E145" s="27"/>
      <c r="F145" s="27" t="str">
        <f t="shared" si="1"/>
        <v/>
      </c>
      <c r="G145" s="2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8"/>
      <c r="B146" s="28"/>
      <c r="C146" s="28"/>
      <c r="D146" s="28"/>
      <c r="E146" s="28"/>
      <c r="F146" s="28" t="str">
        <f t="shared" si="1"/>
        <v/>
      </c>
      <c r="G146" s="2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7"/>
      <c r="B147" s="27"/>
      <c r="C147" s="27"/>
      <c r="D147" s="27"/>
      <c r="E147" s="27"/>
      <c r="F147" s="27" t="str">
        <f t="shared" si="1"/>
        <v/>
      </c>
      <c r="G147" s="2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8"/>
      <c r="B148" s="28"/>
      <c r="C148" s="28"/>
      <c r="D148" s="28"/>
      <c r="E148" s="28"/>
      <c r="F148" s="28" t="str">
        <f t="shared" si="1"/>
        <v/>
      </c>
      <c r="G148" s="2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26.14"/>
    <col customWidth="1" min="4" max="4" width="19.0"/>
    <col customWidth="1" min="6" max="6" width="19.57"/>
    <col customWidth="1" min="7" max="7" width="22.29"/>
  </cols>
  <sheetData>
    <row r="1" ht="33.75" customHeight="1">
      <c r="A1" s="29" t="s">
        <v>88</v>
      </c>
    </row>
    <row r="2">
      <c r="A2" s="30" t="s">
        <v>89</v>
      </c>
      <c r="B2" s="30" t="s">
        <v>90</v>
      </c>
      <c r="C2" s="30" t="s">
        <v>91</v>
      </c>
      <c r="D2" s="30" t="s">
        <v>92</v>
      </c>
      <c r="E2" s="31" t="s">
        <v>93</v>
      </c>
      <c r="F2" s="31" t="s">
        <v>94</v>
      </c>
      <c r="G2" s="32" t="s">
        <v>95</v>
      </c>
    </row>
    <row r="3">
      <c r="A3" s="33" t="s">
        <v>96</v>
      </c>
      <c r="B3" s="34">
        <f>SUMPRODUCT((MONTH('Sales Data'!$A$3:$A$999)=9)*(YEAR('Sales Data'!$A$3:$A$999)=2023)*IFERROR('Sales Data'!$H$3:$H$999*1,0))</f>
        <v>34231</v>
      </c>
      <c r="C3" s="35">
        <f>SUMPRODUCT((MONTH('Sales Data'!$A$3:$A$999)=9)*(YEAR('Sales Data'!$A$3:$A$999)=2023)*IFERROR('Sales Data'!$F$3:$F$999*1,0))</f>
        <v>482</v>
      </c>
      <c r="D3" s="35">
        <v>29.0</v>
      </c>
      <c r="E3" s="36">
        <f>SUMPRODUCT(('Sales Data'!$H$3:$H$1044&lt;&gt;"")*(YEAR('Sales Data'!$A$3:$A$1044)=2023)*(MONTH('Sales Data'!$A$3:$A$1044)=9)*1)</f>
        <v>248</v>
      </c>
      <c r="F3" s="37"/>
      <c r="G3" s="38">
        <f>B3/SUM(B3:B7)</f>
        <v>0.2237656641</v>
      </c>
    </row>
    <row r="4">
      <c r="A4" s="39" t="s">
        <v>97</v>
      </c>
      <c r="B4" s="40">
        <f>SUMPRODUCT((MONTH('Sales Data'!$A$3:$A$999)=10)*(YEAR('Sales Data'!$A$3:$A$999)=2023)*IFERROR('Sales Data'!$H$3:$H$999*1,0))</f>
        <v>30661</v>
      </c>
      <c r="C4" s="41">
        <f>SUMPRODUCT((MONTH('Sales Data'!$A$3:$A$999)=10)*(YEAR('Sales Data'!$A$3:$A$999)=2023)*IFERROR('Sales Data'!$F$3:$F$999*1,0))</f>
        <v>395</v>
      </c>
      <c r="D4" s="42">
        <v>26.0</v>
      </c>
      <c r="E4" s="43">
        <f>SUMPRODUCT(('Sales Data'!$H$3:$H$1044&lt;&gt;"")*(YEAR('Sales Data'!$A$3:$A$1044)=2023)*(MONTH('Sales Data'!$A$3:$A$1044)=10)*1)</f>
        <v>210</v>
      </c>
      <c r="F4" s="44">
        <f t="shared" ref="F4:F7" si="1">IFERROR((B4-B3)/B3*100,"")</f>
        <v>-10.42914317</v>
      </c>
      <c r="G4" s="45">
        <f>B4/SUM(B3:B7)</f>
        <v>0.2004288226</v>
      </c>
    </row>
    <row r="5">
      <c r="A5" s="33" t="s">
        <v>98</v>
      </c>
      <c r="B5" s="34">
        <f>SUMPRODUCT((MONTH('Sales Data'!$A$3:$A$999)=11)*(YEAR('Sales Data'!$A$3:$A$999)=2023)*IFERROR('Sales Data'!$H$3:$H$999*1,0))</f>
        <v>28332</v>
      </c>
      <c r="C5" s="35">
        <f>SUMPRODUCT((MONTH('Sales Data'!$A$3:$A$999)=11)*(YEAR('Sales Data'!$A$3:$A$999)=2023)*IFERROR('Sales Data'!$F$3:$F$999*1,0))</f>
        <v>299</v>
      </c>
      <c r="D5" s="46">
        <v>27.0</v>
      </c>
      <c r="E5" s="36">
        <f>SUMPRODUCT(('Sales Data'!$H$3:$H$1044&lt;&gt;"")*(YEAR('Sales Data'!$A$3:$A$1044)=2023)*(MONTH('Sales Data'!$A$3:$A$1044)=11)*1)</f>
        <v>188</v>
      </c>
      <c r="F5" s="47">
        <f t="shared" si="1"/>
        <v>-7.59596882</v>
      </c>
      <c r="G5" s="38">
        <f>B5/SUM(B3:B7)</f>
        <v>0.1852043118</v>
      </c>
    </row>
    <row r="6">
      <c r="A6" s="39" t="s">
        <v>99</v>
      </c>
      <c r="B6" s="40">
        <f>SUMPRODUCT((MONTH('Sales Data'!$A$3:$A$999)=12)*(YEAR('Sales Data'!$A$3:$A$999)=2023)*IFERROR('Sales Data'!$H$3:$H$999*1,0))</f>
        <v>25310</v>
      </c>
      <c r="C6" s="41">
        <f>SUMPRODUCT((MONTH('Sales Data'!$A$3:$A$999)=12)*(YEAR('Sales Data'!$A$3:$A$999)=2023)*IFERROR('Sales Data'!$F$3:$F$999*1,0))</f>
        <v>281</v>
      </c>
      <c r="D6" s="42">
        <v>30.0</v>
      </c>
      <c r="E6" s="43">
        <f>SUMPRODUCT(('Sales Data'!$H$3:$H$1044&lt;&gt;"")*(YEAR('Sales Data'!$A$3:$A$1044)=2023)*(MONTH('Sales Data'!$A$3:$A$1044)=12)*1)</f>
        <v>179</v>
      </c>
      <c r="F6" s="44">
        <f t="shared" si="1"/>
        <v>-10.6663843</v>
      </c>
      <c r="G6" s="45">
        <f>B6/SUM(B3:B7)</f>
        <v>0.1654497081</v>
      </c>
    </row>
    <row r="7">
      <c r="A7" s="33" t="s">
        <v>100</v>
      </c>
      <c r="B7" s="34">
        <f>SUMPRODUCT((MONTH('Sales Data'!$A$3:$A$999)=1)*(YEAR('Sales Data'!$A$3:$A$999)=2024)*IFERROR('Sales Data'!$H$3:$H$999*1,0))</f>
        <v>34443</v>
      </c>
      <c r="C7" s="35">
        <f>SUMPRODUCT((MONTH('Sales Data'!$A$3:$A$999)=1)*(YEAR('Sales Data'!$A$3:$A$999)=2024)*IFERROR('Sales Data'!$F$3:$F$999*1,0))</f>
        <v>317</v>
      </c>
      <c r="D7" s="46">
        <v>27.0</v>
      </c>
      <c r="E7" s="36">
        <f>SUMPRODUCT(('Sales Data'!$H$3:$H$1044&lt;&gt;"")*(YEAR('Sales Data'!$A$3:$A$1044)=2024)*(MONTH('Sales Data'!$A$3:$A$1044)=1)*1)</f>
        <v>172</v>
      </c>
      <c r="F7" s="48">
        <f t="shared" si="1"/>
        <v>36.08455156</v>
      </c>
      <c r="G7" s="38">
        <f>B7/SUM(B3:B7)</f>
        <v>0.2251514934</v>
      </c>
    </row>
    <row r="8">
      <c r="A8" s="49" t="s">
        <v>101</v>
      </c>
      <c r="B8" s="50">
        <f t="shared" ref="B8:E8" si="2">SUM(B3:B7)</f>
        <v>152977</v>
      </c>
      <c r="C8" s="49">
        <f t="shared" si="2"/>
        <v>1774</v>
      </c>
      <c r="D8" s="49">
        <f t="shared" si="2"/>
        <v>139</v>
      </c>
      <c r="E8" s="51">
        <f t="shared" si="2"/>
        <v>997</v>
      </c>
      <c r="F8" s="52"/>
      <c r="G8" s="53">
        <f>SUM(G3:G7)</f>
        <v>1</v>
      </c>
    </row>
    <row r="9">
      <c r="B9" s="54"/>
    </row>
    <row r="10" ht="33.0" customHeight="1">
      <c r="A10" s="29" t="s">
        <v>102</v>
      </c>
    </row>
    <row r="11">
      <c r="A11" s="55" t="s">
        <v>1</v>
      </c>
      <c r="B11" s="56" t="s">
        <v>90</v>
      </c>
      <c r="C11" s="55" t="s">
        <v>103</v>
      </c>
      <c r="D11" s="55" t="s">
        <v>93</v>
      </c>
      <c r="E11" s="55" t="s">
        <v>104</v>
      </c>
    </row>
    <row r="12">
      <c r="A12" s="57" t="s">
        <v>7</v>
      </c>
      <c r="B12" s="58">
        <f>SUMIF('Sales Data'!$C$3:$C$1044,A12,'Sales Data'!$H$3:$H$1044)</f>
        <v>121956</v>
      </c>
      <c r="C12" s="36">
        <f>SUMIF('Sales Data'!$C$3:$C$1044,A12,'Sales Data'!$F$3:$F$1044)</f>
        <v>1061</v>
      </c>
      <c r="D12" s="36">
        <f>COUNTIF('Sales Data'!$C$3:$C$1044,A12)</f>
        <v>673</v>
      </c>
      <c r="E12" s="59">
        <f t="shared" ref="E12:E20" si="3">IFERROR(B12/B$21*100,0)</f>
        <v>79.72178824</v>
      </c>
    </row>
    <row r="13">
      <c r="A13" s="60" t="s">
        <v>28</v>
      </c>
      <c r="B13" s="61">
        <f>SUMIF('Sales Data'!$C$3:$C$1044,A13,'Sales Data'!$H$3:$H$1044)</f>
        <v>11933</v>
      </c>
      <c r="C13" s="62">
        <f>SUMIF('Sales Data'!$C$3:$C$1044,A13,'Sales Data'!$F$3:$F$1044)</f>
        <v>299</v>
      </c>
      <c r="D13" s="62">
        <f>COUNTIF('Sales Data'!$C$3:$C$1044,A13)</f>
        <v>121</v>
      </c>
      <c r="E13" s="63">
        <f t="shared" si="3"/>
        <v>7.800519032</v>
      </c>
    </row>
    <row r="14">
      <c r="A14" s="57" t="s">
        <v>39</v>
      </c>
      <c r="B14" s="58">
        <f>SUMIF('Sales Data'!$C$3:$C$1044,A14,'Sales Data'!$H$3:$H$1044)</f>
        <v>7880</v>
      </c>
      <c r="C14" s="36">
        <f>SUMIF('Sales Data'!$C$3:$C$1044,A14,'Sales Data'!$F$3:$F$1044)</f>
        <v>138</v>
      </c>
      <c r="D14" s="36">
        <f>COUNTIF('Sales Data'!$C$3:$C$1044,A14)</f>
        <v>72</v>
      </c>
      <c r="E14" s="59">
        <f t="shared" si="3"/>
        <v>5.151101146</v>
      </c>
    </row>
    <row r="15">
      <c r="A15" s="60" t="s">
        <v>48</v>
      </c>
      <c r="B15" s="61">
        <f>SUMIF('Sales Data'!$C$3:$C$1044,A15,'Sales Data'!$H$3:$H$1044)</f>
        <v>3555</v>
      </c>
      <c r="C15" s="62">
        <f>SUMIF('Sales Data'!$C$3:$C$1044,A15,'Sales Data'!$F$3:$F$1044)</f>
        <v>56</v>
      </c>
      <c r="D15" s="62">
        <f>COUNTIF('Sales Data'!$C$3:$C$1044,A15)</f>
        <v>40</v>
      </c>
      <c r="E15" s="63">
        <f t="shared" si="3"/>
        <v>2.323878753</v>
      </c>
    </row>
    <row r="16">
      <c r="A16" s="57" t="s">
        <v>64</v>
      </c>
      <c r="B16" s="58">
        <f>SUMIF('Sales Data'!$C$3:$C$1044,A16,'Sales Data'!$H$3:$H$1044)</f>
        <v>3380</v>
      </c>
      <c r="C16" s="36">
        <f>SUMIF('Sales Data'!$C$3:$C$1044,A16,'Sales Data'!$F$3:$F$1044)</f>
        <v>169</v>
      </c>
      <c r="D16" s="36">
        <f>COUNTIF('Sales Data'!$C$3:$C$1044,A16)</f>
        <v>53</v>
      </c>
      <c r="E16" s="59">
        <f t="shared" si="3"/>
        <v>2.209482471</v>
      </c>
    </row>
    <row r="17">
      <c r="A17" s="60" t="s">
        <v>58</v>
      </c>
      <c r="B17" s="61">
        <f>SUMIF('Sales Data'!$C$3:$C$1044,A17,'Sales Data'!$H$3:$H$1044)</f>
        <v>2236</v>
      </c>
      <c r="C17" s="62">
        <f>SUMIF('Sales Data'!$C$3:$C$1044,A17,'Sales Data'!$F$3:$F$1044)</f>
        <v>14</v>
      </c>
      <c r="D17" s="62">
        <f>COUNTIF('Sales Data'!$C$3:$C$1044,A17)</f>
        <v>13</v>
      </c>
      <c r="E17" s="63">
        <f t="shared" si="3"/>
        <v>1.461657635</v>
      </c>
    </row>
    <row r="18">
      <c r="A18" s="57" t="s">
        <v>36</v>
      </c>
      <c r="B18" s="58">
        <f>SUMIF('Sales Data'!$C$3:$C$1044,A18,'Sales Data'!$H$3:$H$1044)</f>
        <v>797</v>
      </c>
      <c r="C18" s="36">
        <f>SUMIF('Sales Data'!$C$3:$C$1044,A18,'Sales Data'!$F$3:$F$1044)</f>
        <v>13</v>
      </c>
      <c r="D18" s="36">
        <f>COUNTIF('Sales Data'!$C$3:$C$1044,A18)</f>
        <v>10</v>
      </c>
      <c r="E18" s="59">
        <f t="shared" si="3"/>
        <v>0.5209933519</v>
      </c>
    </row>
    <row r="19">
      <c r="A19" s="60" t="s">
        <v>33</v>
      </c>
      <c r="B19" s="61">
        <f>SUMIF('Sales Data'!$C$3:$C$1044,A19,'Sales Data'!$H$3:$H$1044)</f>
        <v>700</v>
      </c>
      <c r="C19" s="62">
        <f>SUMIF('Sales Data'!$C$3:$C$1044,A19,'Sales Data'!$F$3:$F$1044)</f>
        <v>10</v>
      </c>
      <c r="D19" s="62">
        <f>COUNTIF('Sales Data'!$C$3:$C$1044,A19)</f>
        <v>6</v>
      </c>
      <c r="E19" s="63">
        <f t="shared" si="3"/>
        <v>0.4575851272</v>
      </c>
    </row>
    <row r="20">
      <c r="A20" s="57" t="s">
        <v>68</v>
      </c>
      <c r="B20" s="58">
        <f>SUMIF('Sales Data'!$C$3:$C$1044,A20,'Sales Data'!$H$3:$H$1044)</f>
        <v>540</v>
      </c>
      <c r="C20" s="36">
        <f>SUMIF('Sales Data'!$C$3:$C$1044,A20,'Sales Data'!$F$3:$F$1044)</f>
        <v>14</v>
      </c>
      <c r="D20" s="36">
        <f>COUNTIF('Sales Data'!$C$3:$C$1044,A20)</f>
        <v>9</v>
      </c>
      <c r="E20" s="59">
        <f t="shared" si="3"/>
        <v>0.352994241</v>
      </c>
    </row>
    <row r="21">
      <c r="A21" s="49" t="s">
        <v>101</v>
      </c>
      <c r="B21" s="50">
        <f t="shared" ref="B21:E21" si="4">SUM(B12:B20)</f>
        <v>152977</v>
      </c>
      <c r="C21" s="64">
        <f t="shared" si="4"/>
        <v>1774</v>
      </c>
      <c r="D21" s="64">
        <f t="shared" si="4"/>
        <v>997</v>
      </c>
      <c r="E21" s="65">
        <f t="shared" si="4"/>
        <v>100</v>
      </c>
    </row>
    <row r="22">
      <c r="B22" s="54"/>
    </row>
    <row r="23">
      <c r="B23" s="54"/>
    </row>
    <row r="24" ht="32.25" customHeight="1">
      <c r="A24" s="29" t="s">
        <v>105</v>
      </c>
      <c r="K24" s="29"/>
      <c r="L24" s="29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56" t="s">
        <v>106</v>
      </c>
      <c r="B25" s="56" t="s">
        <v>0</v>
      </c>
      <c r="C25" s="56" t="s">
        <v>1</v>
      </c>
      <c r="D25" s="56" t="s">
        <v>90</v>
      </c>
      <c r="E25" s="56" t="s">
        <v>103</v>
      </c>
      <c r="F25" s="56" t="s">
        <v>107</v>
      </c>
      <c r="G25" s="56" t="s">
        <v>104</v>
      </c>
      <c r="H25" s="56" t="s">
        <v>108</v>
      </c>
      <c r="I25" s="56" t="s">
        <v>109</v>
      </c>
      <c r="J25" s="56" t="s">
        <v>110</v>
      </c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7">
        <v>1.0</v>
      </c>
      <c r="B26" s="68" t="s">
        <v>15</v>
      </c>
      <c r="C26" s="69" t="s">
        <v>7</v>
      </c>
      <c r="D26" s="70">
        <f>SUMIF('Sales Data'!$D$3:$D$1044,B26,'Sales Data'!$H$3:$H$1044)</f>
        <v>18010</v>
      </c>
      <c r="E26" s="71">
        <f>SUMIF('Sales Data'!$D$3:$D$1044,B26,'Sales Data'!$F$3:$F$1044)</f>
        <v>140</v>
      </c>
      <c r="F26" s="72">
        <v>129.0</v>
      </c>
      <c r="G26" s="73">
        <f t="shared" ref="G26:G72" si="5">IFERROR(D26/$B$21*100,0)</f>
        <v>11.77301163</v>
      </c>
      <c r="H26" s="74">
        <f t="shared" ref="H26:H72" si="6">SUM($G$26:G26)</f>
        <v>11.77301163</v>
      </c>
      <c r="I26" s="75" t="str">
        <f t="shared" ref="I26:I72" si="7">IF(H26&lt;=70,"A",IF(H26&lt;=90,"B","C"))</f>
        <v>A</v>
      </c>
      <c r="J26" s="76" t="s">
        <v>111</v>
      </c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77">
        <v>2.0</v>
      </c>
      <c r="B27" s="78" t="s">
        <v>26</v>
      </c>
      <c r="C27" s="79" t="s">
        <v>7</v>
      </c>
      <c r="D27" s="80">
        <f>SUMIF('Sales Data'!$D$3:$D$1044,B27,'Sales Data'!$H$3:$H$1044)</f>
        <v>16335</v>
      </c>
      <c r="E27" s="81">
        <f>SUMIF('Sales Data'!$D$3:$D$1044,B27,'Sales Data'!$F$3:$F$1044)</f>
        <v>165</v>
      </c>
      <c r="F27" s="82">
        <f>IFERROR(AVERAGEIF('Sales Data'!$D$3:$D$1044,B27,'Sales Data'!$G$3:$G$1044),0)</f>
        <v>99</v>
      </c>
      <c r="G27" s="83">
        <f t="shared" si="5"/>
        <v>10.67807579</v>
      </c>
      <c r="H27" s="84">
        <f t="shared" si="6"/>
        <v>22.45108742</v>
      </c>
      <c r="I27" s="75" t="str">
        <f t="shared" si="7"/>
        <v>A</v>
      </c>
      <c r="J27" s="76" t="s">
        <v>111</v>
      </c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7">
        <v>3.0</v>
      </c>
      <c r="B28" s="68" t="s">
        <v>11</v>
      </c>
      <c r="C28" s="69" t="s">
        <v>7</v>
      </c>
      <c r="D28" s="70">
        <f>SUMIF('Sales Data'!$D$3:$D$1044,B28,'Sales Data'!$H$3:$H$1044)</f>
        <v>12570</v>
      </c>
      <c r="E28" s="71">
        <f>SUMIF('Sales Data'!$D$3:$D$1044,B28,'Sales Data'!$F$3:$F$1044)</f>
        <v>130</v>
      </c>
      <c r="F28" s="72">
        <v>97.0</v>
      </c>
      <c r="G28" s="73">
        <f t="shared" si="5"/>
        <v>8.216921498</v>
      </c>
      <c r="H28" s="74">
        <f t="shared" si="6"/>
        <v>30.66800892</v>
      </c>
      <c r="I28" s="75" t="str">
        <f t="shared" si="7"/>
        <v>A</v>
      </c>
      <c r="J28" s="76" t="s">
        <v>111</v>
      </c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77">
        <v>4.0</v>
      </c>
      <c r="B29" s="78" t="s">
        <v>8</v>
      </c>
      <c r="C29" s="79" t="s">
        <v>7</v>
      </c>
      <c r="D29" s="80">
        <f>SUMIF('Sales Data'!$D$3:$D$1044,B29,'Sales Data'!$H$3:$H$1044)</f>
        <v>9314</v>
      </c>
      <c r="E29" s="81">
        <f>SUMIF('Sales Data'!$D$3:$D$1044,B29,'Sales Data'!$F$3:$F$1044)</f>
        <v>126</v>
      </c>
      <c r="F29" s="82">
        <f>IFERROR(AVERAGEIF('Sales Data'!$D$3:$D$1044,B29,'Sales Data'!$G$3:$G$1044),0)</f>
        <v>81.53164557</v>
      </c>
      <c r="G29" s="83">
        <f t="shared" si="5"/>
        <v>6.088496964</v>
      </c>
      <c r="H29" s="84">
        <f t="shared" si="6"/>
        <v>36.75650588</v>
      </c>
      <c r="I29" s="75" t="str">
        <f t="shared" si="7"/>
        <v>A</v>
      </c>
      <c r="J29" s="76" t="s">
        <v>111</v>
      </c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7">
        <v>5.0</v>
      </c>
      <c r="B30" s="68" t="s">
        <v>16</v>
      </c>
      <c r="C30" s="69" t="s">
        <v>7</v>
      </c>
      <c r="D30" s="70">
        <f>SUMIF('Sales Data'!$D$3:$D$1044,B30,'Sales Data'!$H$3:$H$1044)</f>
        <v>8804</v>
      </c>
      <c r="E30" s="71">
        <f>SUMIF('Sales Data'!$D$3:$D$1044,B30,'Sales Data'!$F$3:$F$1044)</f>
        <v>56</v>
      </c>
      <c r="F30" s="72">
        <v>157.0</v>
      </c>
      <c r="G30" s="73">
        <f t="shared" si="5"/>
        <v>5.755113514</v>
      </c>
      <c r="H30" s="74">
        <f t="shared" si="6"/>
        <v>42.51161939</v>
      </c>
      <c r="I30" s="75" t="str">
        <f t="shared" si="7"/>
        <v>A</v>
      </c>
      <c r="J30" s="76" t="s">
        <v>111</v>
      </c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77">
        <v>6.0</v>
      </c>
      <c r="B31" s="78" t="s">
        <v>18</v>
      </c>
      <c r="C31" s="79" t="s">
        <v>7</v>
      </c>
      <c r="D31" s="80">
        <f>SUMIF('Sales Data'!$D$3:$D$1044,B31,'Sales Data'!$H$3:$H$1044)</f>
        <v>8671</v>
      </c>
      <c r="E31" s="81">
        <f>SUMIF('Sales Data'!$D$3:$D$1044,B31,'Sales Data'!$F$3:$F$1044)</f>
        <v>49</v>
      </c>
      <c r="F31" s="82">
        <f>IFERROR(AVERAGEIF('Sales Data'!$D$3:$D$1044,B31,'Sales Data'!$G$3:$G$1044),0)</f>
        <v>177.3333333</v>
      </c>
      <c r="G31" s="83">
        <f t="shared" si="5"/>
        <v>5.66817234</v>
      </c>
      <c r="H31" s="84">
        <f t="shared" si="6"/>
        <v>48.17979173</v>
      </c>
      <c r="I31" s="75" t="str">
        <f t="shared" si="7"/>
        <v>A</v>
      </c>
      <c r="J31" s="76" t="s">
        <v>111</v>
      </c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7">
        <v>7.0</v>
      </c>
      <c r="B32" s="68" t="s">
        <v>27</v>
      </c>
      <c r="C32" s="69" t="s">
        <v>28</v>
      </c>
      <c r="D32" s="70">
        <f>SUMIF('Sales Data'!$D$3:$D$1044,B32,'Sales Data'!$H$3:$H$1044)</f>
        <v>6786</v>
      </c>
      <c r="E32" s="71">
        <f>SUMIF('Sales Data'!$D$3:$D$1044,B32,'Sales Data'!$F$3:$F$1044)</f>
        <v>174</v>
      </c>
      <c r="F32" s="85">
        <f>IFERROR(AVERAGEIF('Sales Data'!$D$3:$D$1044,B32,'Sales Data'!$G$3:$G$1044),0)</f>
        <v>39</v>
      </c>
      <c r="G32" s="73">
        <f t="shared" si="5"/>
        <v>4.435960961</v>
      </c>
      <c r="H32" s="74">
        <f t="shared" si="6"/>
        <v>52.61575269</v>
      </c>
      <c r="I32" s="75" t="str">
        <f t="shared" si="7"/>
        <v>A</v>
      </c>
      <c r="J32" s="76" t="s">
        <v>111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77">
        <v>8.0</v>
      </c>
      <c r="B33" s="78" t="s">
        <v>17</v>
      </c>
      <c r="C33" s="79" t="s">
        <v>7</v>
      </c>
      <c r="D33" s="80">
        <f>SUMIF('Sales Data'!$D$3:$D$1044,B33,'Sales Data'!$H$3:$H$1044)</f>
        <v>5550</v>
      </c>
      <c r="E33" s="81">
        <f>SUMIF('Sales Data'!$D$3:$D$1044,B33,'Sales Data'!$F$3:$F$1044)</f>
        <v>30</v>
      </c>
      <c r="F33" s="86">
        <v>185.0</v>
      </c>
      <c r="G33" s="83">
        <f t="shared" si="5"/>
        <v>3.627996365</v>
      </c>
      <c r="H33" s="84">
        <f t="shared" si="6"/>
        <v>56.24374906</v>
      </c>
      <c r="I33" s="75" t="str">
        <f t="shared" si="7"/>
        <v>A</v>
      </c>
      <c r="J33" s="76" t="s">
        <v>111</v>
      </c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7">
        <v>9.0</v>
      </c>
      <c r="B34" s="68" t="s">
        <v>23</v>
      </c>
      <c r="C34" s="69" t="s">
        <v>7</v>
      </c>
      <c r="D34" s="70">
        <f>SUMIF('Sales Data'!$D$3:$D$1044,B34,'Sales Data'!$H$3:$H$1044)</f>
        <v>5487</v>
      </c>
      <c r="E34" s="71">
        <f>SUMIF('Sales Data'!$D$3:$D$1044,B34,'Sales Data'!$F$3:$F$1044)</f>
        <v>25</v>
      </c>
      <c r="F34" s="85">
        <f>IFERROR(AVERAGEIF('Sales Data'!$D$3:$D$1044,B34,'Sales Data'!$G$3:$G$1044),0)</f>
        <v>218.5652174</v>
      </c>
      <c r="G34" s="73">
        <f t="shared" si="5"/>
        <v>3.586813704</v>
      </c>
      <c r="H34" s="74">
        <f t="shared" si="6"/>
        <v>59.83056276</v>
      </c>
      <c r="I34" s="75" t="str">
        <f t="shared" si="7"/>
        <v>A</v>
      </c>
      <c r="J34" s="76" t="s">
        <v>111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77">
        <v>10.0</v>
      </c>
      <c r="B35" s="78" t="s">
        <v>29</v>
      </c>
      <c r="C35" s="79" t="s">
        <v>28</v>
      </c>
      <c r="D35" s="80">
        <f>SUMIF('Sales Data'!$D$3:$D$1044,B35,'Sales Data'!$H$3:$H$1044)</f>
        <v>4838</v>
      </c>
      <c r="E35" s="81">
        <f>SUMIF('Sales Data'!$D$3:$D$1044,B35,'Sales Data'!$F$3:$F$1044)</f>
        <v>82</v>
      </c>
      <c r="F35" s="82">
        <f>IFERROR(AVERAGEIF('Sales Data'!$D$3:$D$1044,B35,'Sales Data'!$G$3:$G$1044),0)</f>
        <v>59</v>
      </c>
      <c r="G35" s="83">
        <f t="shared" si="5"/>
        <v>3.162566922</v>
      </c>
      <c r="H35" s="84">
        <f t="shared" si="6"/>
        <v>62.99312969</v>
      </c>
      <c r="I35" s="75" t="str">
        <f t="shared" si="7"/>
        <v>A</v>
      </c>
      <c r="J35" s="87" t="s">
        <v>112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7">
        <v>11.0</v>
      </c>
      <c r="B36" s="68" t="s">
        <v>6</v>
      </c>
      <c r="C36" s="69" t="s">
        <v>7</v>
      </c>
      <c r="D36" s="70">
        <f>SUMIF('Sales Data'!$D$3:$D$1044,B36,'Sales Data'!$H$3:$H$1044)</f>
        <v>4753</v>
      </c>
      <c r="E36" s="71">
        <f>SUMIF('Sales Data'!$D$3:$D$1044,B36,'Sales Data'!$F$3:$F$1044)</f>
        <v>97</v>
      </c>
      <c r="F36" s="85">
        <f>IFERROR(AVERAGEIF('Sales Data'!$D$3:$D$1044,B36,'Sales Data'!$G$3:$G$1044),0)</f>
        <v>49</v>
      </c>
      <c r="G36" s="73">
        <f t="shared" si="5"/>
        <v>3.107003014</v>
      </c>
      <c r="H36" s="74">
        <f t="shared" si="6"/>
        <v>66.1001327</v>
      </c>
      <c r="I36" s="75" t="str">
        <f t="shared" si="7"/>
        <v>A</v>
      </c>
      <c r="J36" s="87" t="s">
        <v>112</v>
      </c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77">
        <v>12.0</v>
      </c>
      <c r="B37" s="78" t="s">
        <v>13</v>
      </c>
      <c r="C37" s="79" t="s">
        <v>7</v>
      </c>
      <c r="D37" s="80">
        <f>SUMIF('Sales Data'!$D$3:$D$1044,B37,'Sales Data'!$H$3:$H$1044)</f>
        <v>4736</v>
      </c>
      <c r="E37" s="81">
        <f>SUMIF('Sales Data'!$D$3:$D$1044,B37,'Sales Data'!$F$3:$F$1044)</f>
        <v>44</v>
      </c>
      <c r="F37" s="82">
        <f>IFERROR(AVERAGEIF('Sales Data'!$D$3:$D$1044,B37,'Sales Data'!$G$3:$G$1044),0)</f>
        <v>120.8518519</v>
      </c>
      <c r="G37" s="83">
        <f t="shared" si="5"/>
        <v>3.095890232</v>
      </c>
      <c r="H37" s="84">
        <f t="shared" si="6"/>
        <v>69.19602293</v>
      </c>
      <c r="I37" s="75" t="str">
        <f t="shared" si="7"/>
        <v>A</v>
      </c>
      <c r="J37" s="87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7">
        <v>13.0</v>
      </c>
      <c r="B38" s="68" t="s">
        <v>19</v>
      </c>
      <c r="C38" s="69" t="s">
        <v>7</v>
      </c>
      <c r="D38" s="70">
        <f>SUMIF('Sales Data'!$D$3:$D$1044,B38,'Sales Data'!$H$3:$H$1044)</f>
        <v>4556</v>
      </c>
      <c r="E38" s="71">
        <f>SUMIF('Sales Data'!$D$3:$D$1044,B38,'Sales Data'!$F$3:$F$1044)</f>
        <v>24</v>
      </c>
      <c r="F38" s="85">
        <f>IFERROR(AVERAGEIF('Sales Data'!$D$3:$D$1044,B38,'Sales Data'!$G$3:$G$1044),0)</f>
        <v>192.1578947</v>
      </c>
      <c r="G38" s="73">
        <f t="shared" si="5"/>
        <v>2.978225485</v>
      </c>
      <c r="H38" s="74">
        <f t="shared" si="6"/>
        <v>72.17424842</v>
      </c>
      <c r="I38" s="88" t="str">
        <f t="shared" si="7"/>
        <v>B</v>
      </c>
      <c r="J38" s="87" t="s">
        <v>112</v>
      </c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77">
        <v>14.0</v>
      </c>
      <c r="B39" s="78" t="s">
        <v>24</v>
      </c>
      <c r="C39" s="79" t="s">
        <v>7</v>
      </c>
      <c r="D39" s="80">
        <f>SUMIF('Sales Data'!$D$3:$D$1044,B39,'Sales Data'!$H$3:$H$1044)</f>
        <v>4327</v>
      </c>
      <c r="E39" s="81">
        <f>SUMIF('Sales Data'!$D$3:$D$1044,B39,'Sales Data'!$F$3:$F$1044)</f>
        <v>23</v>
      </c>
      <c r="F39" s="82">
        <f>IFERROR(AVERAGEIF('Sales Data'!$D$3:$D$1044,B39,'Sales Data'!$G$3:$G$1044),0)</f>
        <v>189.9090909</v>
      </c>
      <c r="G39" s="83">
        <f t="shared" si="5"/>
        <v>2.828529779</v>
      </c>
      <c r="H39" s="84">
        <f t="shared" si="6"/>
        <v>75.0027782</v>
      </c>
      <c r="I39" s="88" t="str">
        <f t="shared" si="7"/>
        <v>B</v>
      </c>
      <c r="J39" s="87" t="s">
        <v>112</v>
      </c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7">
        <v>15.0</v>
      </c>
      <c r="B40" s="68" t="s">
        <v>21</v>
      </c>
      <c r="C40" s="69" t="s">
        <v>7</v>
      </c>
      <c r="D40" s="70">
        <f>SUMIF('Sales Data'!$D$3:$D$1044,B40,'Sales Data'!$H$3:$H$1044)</f>
        <v>4267</v>
      </c>
      <c r="E40" s="71">
        <f>SUMIF('Sales Data'!$D$3:$D$1044,B40,'Sales Data'!$F$3:$F$1044)</f>
        <v>23</v>
      </c>
      <c r="F40" s="85">
        <f>IFERROR(AVERAGEIF('Sales Data'!$D$3:$D$1044,B40,'Sales Data'!$G$3:$G$1044),0)</f>
        <v>188.5454545</v>
      </c>
      <c r="G40" s="73">
        <f t="shared" si="5"/>
        <v>2.789308197</v>
      </c>
      <c r="H40" s="74">
        <f t="shared" si="6"/>
        <v>77.79208639</v>
      </c>
      <c r="I40" s="88" t="str">
        <f t="shared" si="7"/>
        <v>B</v>
      </c>
      <c r="J40" s="87" t="s">
        <v>112</v>
      </c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77">
        <v>16.0</v>
      </c>
      <c r="B41" s="78" t="s">
        <v>10</v>
      </c>
      <c r="C41" s="79" t="s">
        <v>7</v>
      </c>
      <c r="D41" s="80">
        <f>SUMIF('Sales Data'!$D$3:$D$1044,B41,'Sales Data'!$H$3:$H$1044)</f>
        <v>3369</v>
      </c>
      <c r="E41" s="81">
        <f>SUMIF('Sales Data'!$D$3:$D$1044,B41,'Sales Data'!$F$3:$F$1044)</f>
        <v>41</v>
      </c>
      <c r="F41" s="82">
        <f>IFERROR(AVERAGEIF('Sales Data'!$D$3:$D$1044,B41,'Sales Data'!$G$3:$G$1044),0)</f>
        <v>87.78787879</v>
      </c>
      <c r="G41" s="83">
        <f t="shared" si="5"/>
        <v>2.202291848</v>
      </c>
      <c r="H41" s="84">
        <f t="shared" si="6"/>
        <v>79.99437824</v>
      </c>
      <c r="I41" s="88" t="str">
        <f t="shared" si="7"/>
        <v>B</v>
      </c>
      <c r="J41" s="87" t="s">
        <v>112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7">
        <v>17.0</v>
      </c>
      <c r="B42" s="68" t="s">
        <v>20</v>
      </c>
      <c r="C42" s="69" t="s">
        <v>7</v>
      </c>
      <c r="D42" s="70">
        <f>SUMIF('Sales Data'!$D$3:$D$1044,B42,'Sales Data'!$H$3:$H$1044)</f>
        <v>3184</v>
      </c>
      <c r="E42" s="71">
        <f>SUMIF('Sales Data'!$D$3:$D$1044,B42,'Sales Data'!$F$3:$F$1044)</f>
        <v>16</v>
      </c>
      <c r="F42" s="85">
        <f>IFERROR(AVERAGEIF('Sales Data'!$D$3:$D$1044,B42,'Sales Data'!$G$3:$G$1044),0)</f>
        <v>199</v>
      </c>
      <c r="G42" s="73">
        <f t="shared" si="5"/>
        <v>2.081358636</v>
      </c>
      <c r="H42" s="74">
        <f t="shared" si="6"/>
        <v>82.07573688</v>
      </c>
      <c r="I42" s="88" t="str">
        <f t="shared" si="7"/>
        <v>B</v>
      </c>
      <c r="J42" s="87" t="s">
        <v>112</v>
      </c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77">
        <v>18.0</v>
      </c>
      <c r="B43" s="78" t="s">
        <v>63</v>
      </c>
      <c r="C43" s="79" t="s">
        <v>64</v>
      </c>
      <c r="D43" s="80">
        <f>SUMIF('Sales Data'!$D$3:$D$1044,B43,'Sales Data'!$H$3:$H$1044)</f>
        <v>3140</v>
      </c>
      <c r="E43" s="81">
        <f>SUMIF('Sales Data'!$D$3:$D$1044,B43,'Sales Data'!$F$3:$F$1044)</f>
        <v>157</v>
      </c>
      <c r="F43" s="82">
        <f>IFERROR(AVERAGEIF('Sales Data'!$D$3:$D$1044,B43,'Sales Data'!$G$3:$G$1044),0)</f>
        <v>20</v>
      </c>
      <c r="G43" s="83">
        <f t="shared" si="5"/>
        <v>2.052596142</v>
      </c>
      <c r="H43" s="84">
        <f t="shared" si="6"/>
        <v>84.12833302</v>
      </c>
      <c r="I43" s="88" t="str">
        <f t="shared" si="7"/>
        <v>B</v>
      </c>
      <c r="J43" s="87" t="s">
        <v>112</v>
      </c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7">
        <v>19.0</v>
      </c>
      <c r="B44" s="68" t="s">
        <v>46</v>
      </c>
      <c r="C44" s="69" t="s">
        <v>39</v>
      </c>
      <c r="D44" s="70">
        <f>SUMIF('Sales Data'!$D$3:$D$1044,B44,'Sales Data'!$H$3:$H$1044)</f>
        <v>2950</v>
      </c>
      <c r="E44" s="71">
        <f>SUMIF('Sales Data'!$D$3:$D$1044,B44,'Sales Data'!$F$3:$F$1044)</f>
        <v>59</v>
      </c>
      <c r="F44" s="85">
        <f>IFERROR(AVERAGEIF('Sales Data'!$D$3:$D$1044,B44,'Sales Data'!$G$3:$G$1044),0)</f>
        <v>50</v>
      </c>
      <c r="G44" s="73">
        <f t="shared" si="5"/>
        <v>1.928394465</v>
      </c>
      <c r="H44" s="74">
        <f t="shared" si="6"/>
        <v>86.05672748</v>
      </c>
      <c r="I44" s="88" t="str">
        <f t="shared" si="7"/>
        <v>B</v>
      </c>
      <c r="J44" s="87" t="s">
        <v>112</v>
      </c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89">
        <v>20.0</v>
      </c>
      <c r="B45" s="90" t="s">
        <v>14</v>
      </c>
      <c r="C45" s="91" t="s">
        <v>7</v>
      </c>
      <c r="D45" s="92">
        <f>SUMIF('Sales Data'!$D$3:$D$1044,B45,'Sales Data'!$H$3:$H$1044)</f>
        <v>2941</v>
      </c>
      <c r="E45" s="93">
        <f>SUMIF('Sales Data'!$D$3:$D$1044,B45,'Sales Data'!$F$3:$F$1044)</f>
        <v>29</v>
      </c>
      <c r="F45" s="94">
        <f>IFERROR(AVERAGEIF('Sales Data'!$D$3:$D$1044,B45,'Sales Data'!$G$3:$G$1044),0)</f>
        <v>107.9473684</v>
      </c>
      <c r="G45" s="73">
        <f t="shared" si="5"/>
        <v>1.922511227</v>
      </c>
      <c r="H45" s="74">
        <f t="shared" si="6"/>
        <v>87.97923871</v>
      </c>
      <c r="I45" s="88" t="str">
        <f t="shared" si="7"/>
        <v>B</v>
      </c>
      <c r="J45" s="87" t="s">
        <v>112</v>
      </c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7">
        <v>21.0</v>
      </c>
      <c r="B46" s="68" t="s">
        <v>38</v>
      </c>
      <c r="C46" s="69" t="s">
        <v>39</v>
      </c>
      <c r="D46" s="70">
        <f>SUMIF('Sales Data'!$D$3:$D$1044,B46,'Sales Data'!$H$3:$H$1044)</f>
        <v>2310</v>
      </c>
      <c r="E46" s="71">
        <f>SUMIF('Sales Data'!$D$3:$D$1044,B46,'Sales Data'!$F$3:$F$1044)</f>
        <v>33</v>
      </c>
      <c r="F46" s="85">
        <f>IFERROR(AVERAGEIF('Sales Data'!$D$3:$D$1044,B46,'Sales Data'!$G$3:$G$1044),0)</f>
        <v>70</v>
      </c>
      <c r="G46" s="73">
        <f t="shared" si="5"/>
        <v>1.51003092</v>
      </c>
      <c r="H46" s="74">
        <f t="shared" si="6"/>
        <v>89.48926963</v>
      </c>
      <c r="I46" s="88" t="str">
        <f t="shared" si="7"/>
        <v>B</v>
      </c>
      <c r="J46" s="87" t="s">
        <v>112</v>
      </c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89">
        <v>22.0</v>
      </c>
      <c r="B47" s="90" t="s">
        <v>56</v>
      </c>
      <c r="C47" s="91" t="s">
        <v>48</v>
      </c>
      <c r="D47" s="92">
        <f>SUMIF('Sales Data'!$D$3:$D$1044,B47,'Sales Data'!$H$3:$H$1044)</f>
        <v>2090</v>
      </c>
      <c r="E47" s="93">
        <f>SUMIF('Sales Data'!$D$3:$D$1044,B47,'Sales Data'!$F$3:$F$1044)</f>
        <v>19</v>
      </c>
      <c r="F47" s="94">
        <f>IFERROR(AVERAGEIF('Sales Data'!$D$3:$D$1044,B47,'Sales Data'!$G$3:$G$1044),0)</f>
        <v>110</v>
      </c>
      <c r="G47" s="73">
        <f t="shared" si="5"/>
        <v>1.366218451</v>
      </c>
      <c r="H47" s="74">
        <f t="shared" si="6"/>
        <v>90.85548808</v>
      </c>
      <c r="I47" s="75" t="str">
        <f t="shared" si="7"/>
        <v>C</v>
      </c>
      <c r="J47" s="87" t="s">
        <v>112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7">
        <v>23.0</v>
      </c>
      <c r="B48" s="68" t="s">
        <v>9</v>
      </c>
      <c r="C48" s="69" t="s">
        <v>7</v>
      </c>
      <c r="D48" s="70">
        <f>SUMIF('Sales Data'!$D$3:$D$1044,B48,'Sales Data'!$H$3:$H$1044)</f>
        <v>2033</v>
      </c>
      <c r="E48" s="71">
        <f>SUMIF('Sales Data'!$D$3:$D$1044,B48,'Sales Data'!$F$3:$F$1044)</f>
        <v>27</v>
      </c>
      <c r="F48" s="85">
        <f>IFERROR(AVERAGEIF('Sales Data'!$D$3:$D$1044,B48,'Sales Data'!$G$3:$G$1044),0)</f>
        <v>79.52631579</v>
      </c>
      <c r="G48" s="73">
        <f t="shared" si="5"/>
        <v>1.328957948</v>
      </c>
      <c r="H48" s="74">
        <f t="shared" si="6"/>
        <v>92.18444603</v>
      </c>
      <c r="I48" s="75" t="str">
        <f t="shared" si="7"/>
        <v>C</v>
      </c>
      <c r="J48" s="87" t="s">
        <v>112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89">
        <v>24.0</v>
      </c>
      <c r="B49" s="90" t="s">
        <v>57</v>
      </c>
      <c r="C49" s="91" t="s">
        <v>58</v>
      </c>
      <c r="D49" s="92">
        <f>SUMIF('Sales Data'!$D$3:$D$1044,B49,'Sales Data'!$H$3:$H$1044)</f>
        <v>1639</v>
      </c>
      <c r="E49" s="93">
        <f>SUMIF('Sales Data'!$D$3:$D$1044,B49,'Sales Data'!$F$3:$F$1044)</f>
        <v>11</v>
      </c>
      <c r="F49" s="94">
        <f>IFERROR(AVERAGEIF('Sales Data'!$D$3:$D$1044,B49,'Sales Data'!$G$3:$G$1044),0)</f>
        <v>149</v>
      </c>
      <c r="G49" s="73">
        <f t="shared" si="5"/>
        <v>1.071402891</v>
      </c>
      <c r="H49" s="74">
        <f t="shared" si="6"/>
        <v>93.25584892</v>
      </c>
      <c r="I49" s="75" t="str">
        <f t="shared" si="7"/>
        <v>C</v>
      </c>
      <c r="J49" s="87" t="s">
        <v>112</v>
      </c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7">
        <v>25.0</v>
      </c>
      <c r="B50" s="68" t="s">
        <v>25</v>
      </c>
      <c r="C50" s="69" t="s">
        <v>7</v>
      </c>
      <c r="D50" s="70">
        <f>SUMIF('Sales Data'!$D$3:$D$1044,B50,'Sales Data'!$H$3:$H$1044)</f>
        <v>1438</v>
      </c>
      <c r="E50" s="71">
        <f>SUMIF('Sales Data'!$D$3:$D$1044,B50,'Sales Data'!$F$3:$F$1044)</f>
        <v>6</v>
      </c>
      <c r="F50" s="85">
        <f>IFERROR(AVERAGEIF('Sales Data'!$D$3:$D$1044,B50,'Sales Data'!$G$3:$G$1044),0)</f>
        <v>253.6</v>
      </c>
      <c r="G50" s="73">
        <f t="shared" si="5"/>
        <v>0.9400105898</v>
      </c>
      <c r="H50" s="74">
        <f t="shared" si="6"/>
        <v>94.19585951</v>
      </c>
      <c r="I50" s="75" t="str">
        <f t="shared" si="7"/>
        <v>C</v>
      </c>
      <c r="J50" s="87" t="s">
        <v>112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89">
        <v>26.0</v>
      </c>
      <c r="B51" s="90" t="s">
        <v>12</v>
      </c>
      <c r="C51" s="91" t="s">
        <v>7</v>
      </c>
      <c r="D51" s="92">
        <f>SUMIF('Sales Data'!$D$3:$D$1044,B51,'Sales Data'!$H$3:$H$1044)</f>
        <v>1252</v>
      </c>
      <c r="E51" s="93">
        <f>SUMIF('Sales Data'!$D$3:$D$1044,B51,'Sales Data'!$F$3:$F$1044)</f>
        <v>8</v>
      </c>
      <c r="F51" s="94">
        <f>IFERROR(AVERAGEIF('Sales Data'!$D$3:$D$1044,B51,'Sales Data'!$G$3:$G$1044),0)</f>
        <v>160.4285714</v>
      </c>
      <c r="G51" s="73">
        <f t="shared" si="5"/>
        <v>0.8184236846</v>
      </c>
      <c r="H51" s="74">
        <f t="shared" si="6"/>
        <v>95.01428319</v>
      </c>
      <c r="I51" s="75" t="str">
        <f t="shared" si="7"/>
        <v>C</v>
      </c>
      <c r="J51" s="87" t="s">
        <v>112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7">
        <v>27.0</v>
      </c>
      <c r="B52" s="68" t="s">
        <v>41</v>
      </c>
      <c r="C52" s="69" t="s">
        <v>39</v>
      </c>
      <c r="D52" s="70">
        <f>SUMIF('Sales Data'!$D$3:$D$1044,B52,'Sales Data'!$H$3:$H$1044)</f>
        <v>1120</v>
      </c>
      <c r="E52" s="71">
        <f>SUMIF('Sales Data'!$D$3:$D$1044,B52,'Sales Data'!$F$3:$F$1044)</f>
        <v>16</v>
      </c>
      <c r="F52" s="85">
        <f>IFERROR(AVERAGEIF('Sales Data'!$D$3:$D$1044,B52,'Sales Data'!$G$3:$G$1044),0)</f>
        <v>70</v>
      </c>
      <c r="G52" s="73">
        <f t="shared" si="5"/>
        <v>0.7321362035</v>
      </c>
      <c r="H52" s="74">
        <f t="shared" si="6"/>
        <v>95.7464194</v>
      </c>
      <c r="I52" s="75" t="str">
        <f t="shared" si="7"/>
        <v>C</v>
      </c>
      <c r="J52" s="87" t="s">
        <v>112</v>
      </c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89">
        <v>28.0</v>
      </c>
      <c r="B53" s="90" t="s">
        <v>45</v>
      </c>
      <c r="C53" s="91" t="s">
        <v>39</v>
      </c>
      <c r="D53" s="92">
        <f>SUMIF('Sales Data'!$D$3:$D$1044,B53,'Sales Data'!$H$3:$H$1044)</f>
        <v>850</v>
      </c>
      <c r="E53" s="93">
        <f>SUMIF('Sales Data'!$D$3:$D$1044,B53,'Sales Data'!$F$3:$F$1044)</f>
        <v>17</v>
      </c>
      <c r="F53" s="94">
        <f>IFERROR(AVERAGEIF('Sales Data'!$D$3:$D$1044,B53,'Sales Data'!$G$3:$G$1044),0)</f>
        <v>50</v>
      </c>
      <c r="G53" s="73">
        <f t="shared" si="5"/>
        <v>0.555639083</v>
      </c>
      <c r="H53" s="74">
        <f t="shared" si="6"/>
        <v>96.30205848</v>
      </c>
      <c r="I53" s="75" t="str">
        <f t="shared" si="7"/>
        <v>C</v>
      </c>
      <c r="J53" s="87" t="s">
        <v>112</v>
      </c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7">
        <v>29.0</v>
      </c>
      <c r="B54" s="68" t="s">
        <v>32</v>
      </c>
      <c r="C54" s="69" t="s">
        <v>33</v>
      </c>
      <c r="D54" s="70">
        <f>SUMIF('Sales Data'!$D$3:$D$1044,B54,'Sales Data'!$H$3:$H$1044)</f>
        <v>700</v>
      </c>
      <c r="E54" s="71">
        <f>SUMIF('Sales Data'!$D$3:$D$1044,B54,'Sales Data'!$F$3:$F$1044)</f>
        <v>10</v>
      </c>
      <c r="F54" s="85">
        <f>IFERROR(AVERAGEIF('Sales Data'!$D$3:$D$1044,B54,'Sales Data'!$G$3:$G$1044),0)</f>
        <v>70</v>
      </c>
      <c r="G54" s="73">
        <f t="shared" si="5"/>
        <v>0.4575851272</v>
      </c>
      <c r="H54" s="74">
        <f t="shared" si="6"/>
        <v>96.75964361</v>
      </c>
      <c r="I54" s="75" t="str">
        <f t="shared" si="7"/>
        <v>C</v>
      </c>
      <c r="J54" s="87" t="s">
        <v>112</v>
      </c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89">
        <v>30.0</v>
      </c>
      <c r="B55" s="90" t="s">
        <v>59</v>
      </c>
      <c r="C55" s="91" t="s">
        <v>58</v>
      </c>
      <c r="D55" s="92">
        <f>SUMIF('Sales Data'!$D$3:$D$1044,B55,'Sales Data'!$H$3:$H$1044)</f>
        <v>597</v>
      </c>
      <c r="E55" s="93">
        <f>SUMIF('Sales Data'!$D$3:$D$1044,B55,'Sales Data'!$F$3:$F$1044)</f>
        <v>3</v>
      </c>
      <c r="F55" s="94">
        <f>IFERROR(AVERAGEIF('Sales Data'!$D$3:$D$1044,B55,'Sales Data'!$G$3:$G$1044),0)</f>
        <v>199</v>
      </c>
      <c r="G55" s="73">
        <f t="shared" si="5"/>
        <v>0.3902547442</v>
      </c>
      <c r="H55" s="74">
        <f t="shared" si="6"/>
        <v>97.14989835</v>
      </c>
      <c r="I55" s="75" t="str">
        <f t="shared" si="7"/>
        <v>C</v>
      </c>
      <c r="J55" s="87" t="s">
        <v>112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7">
        <v>31.0</v>
      </c>
      <c r="B56" s="68" t="s">
        <v>67</v>
      </c>
      <c r="C56" s="69" t="s">
        <v>68</v>
      </c>
      <c r="D56" s="70">
        <f>SUMIF('Sales Data'!$D$3:$D$1044,B56,'Sales Data'!$H$3:$H$1044)</f>
        <v>520</v>
      </c>
      <c r="E56" s="71">
        <f>SUMIF('Sales Data'!$D$3:$D$1044,B56,'Sales Data'!$F$3:$F$1044)</f>
        <v>13</v>
      </c>
      <c r="F56" s="85">
        <f>IFERROR(AVERAGEIF('Sales Data'!$D$3:$D$1044,B56,'Sales Data'!$G$3:$G$1044),0)</f>
        <v>40</v>
      </c>
      <c r="G56" s="73">
        <f t="shared" si="5"/>
        <v>0.3399203802</v>
      </c>
      <c r="H56" s="74">
        <f t="shared" si="6"/>
        <v>97.48981873</v>
      </c>
      <c r="I56" s="75" t="str">
        <f t="shared" si="7"/>
        <v>C</v>
      </c>
      <c r="J56" s="87" t="s">
        <v>112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89">
        <v>32.0</v>
      </c>
      <c r="B57" s="90" t="s">
        <v>35</v>
      </c>
      <c r="C57" s="91" t="s">
        <v>36</v>
      </c>
      <c r="D57" s="92">
        <f>SUMIF('Sales Data'!$D$3:$D$1044,B57,'Sales Data'!$H$3:$H$1044)</f>
        <v>441</v>
      </c>
      <c r="E57" s="93">
        <f>SUMIF('Sales Data'!$D$3:$D$1044,B57,'Sales Data'!$F$3:$F$1044)</f>
        <v>9</v>
      </c>
      <c r="F57" s="94">
        <f>IFERROR(AVERAGEIF('Sales Data'!$D$3:$D$1044,B57,'Sales Data'!$G$3:$G$1044),0)</f>
        <v>49</v>
      </c>
      <c r="G57" s="73">
        <f t="shared" si="5"/>
        <v>0.2882786301</v>
      </c>
      <c r="H57" s="74">
        <f t="shared" si="6"/>
        <v>97.77809736</v>
      </c>
      <c r="I57" s="75" t="str">
        <f t="shared" si="7"/>
        <v>C</v>
      </c>
      <c r="J57" s="87" t="s">
        <v>112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7">
        <v>33.0</v>
      </c>
      <c r="B58" s="68" t="s">
        <v>54</v>
      </c>
      <c r="C58" s="69" t="s">
        <v>48</v>
      </c>
      <c r="D58" s="70">
        <f>SUMIF('Sales Data'!$D$3:$D$1044,B58,'Sales Data'!$H$3:$H$1044)</f>
        <v>420</v>
      </c>
      <c r="E58" s="71">
        <f>SUMIF('Sales Data'!$D$3:$D$1044,B58,'Sales Data'!$F$3:$F$1044)</f>
        <v>6</v>
      </c>
      <c r="F58" s="85">
        <f>IFERROR(AVERAGEIF('Sales Data'!$D$3:$D$1044,B58,'Sales Data'!$G$3:$G$1044),0)</f>
        <v>70</v>
      </c>
      <c r="G58" s="73">
        <f t="shared" si="5"/>
        <v>0.2745510763</v>
      </c>
      <c r="H58" s="74">
        <f t="shared" si="6"/>
        <v>98.05264844</v>
      </c>
      <c r="I58" s="75" t="str">
        <f t="shared" si="7"/>
        <v>C</v>
      </c>
      <c r="J58" s="87" t="s">
        <v>112</v>
      </c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89">
        <v>34.0</v>
      </c>
      <c r="B59" s="90" t="s">
        <v>53</v>
      </c>
      <c r="C59" s="91" t="s">
        <v>48</v>
      </c>
      <c r="D59" s="92">
        <f>SUMIF('Sales Data'!$D$3:$D$1044,B59,'Sales Data'!$H$3:$H$1044)</f>
        <v>390</v>
      </c>
      <c r="E59" s="93">
        <f>SUMIF('Sales Data'!$D$3:$D$1044,B59,'Sales Data'!$F$3:$F$1044)</f>
        <v>13</v>
      </c>
      <c r="F59" s="94">
        <f>IFERROR(AVERAGEIF('Sales Data'!$D$3:$D$1044,B59,'Sales Data'!$G$3:$G$1044),0)</f>
        <v>30</v>
      </c>
      <c r="G59" s="73">
        <f t="shared" si="5"/>
        <v>0.2549402851</v>
      </c>
      <c r="H59" s="74">
        <f t="shared" si="6"/>
        <v>98.30758872</v>
      </c>
      <c r="I59" s="75" t="str">
        <f t="shared" si="7"/>
        <v>C</v>
      </c>
      <c r="J59" s="87" t="s">
        <v>112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7">
        <v>35.0</v>
      </c>
      <c r="B60" s="68" t="s">
        <v>22</v>
      </c>
      <c r="C60" s="69" t="s">
        <v>7</v>
      </c>
      <c r="D60" s="70">
        <f>SUMIF('Sales Data'!$D$3:$D$1044,B60,'Sales Data'!$H$3:$H$1044)</f>
        <v>359</v>
      </c>
      <c r="E60" s="71">
        <f>SUMIF('Sales Data'!$D$3:$D$1044,B60,'Sales Data'!$F$3:$F$1044)</f>
        <v>2</v>
      </c>
      <c r="F60" s="85">
        <f>IFERROR(AVERAGEIF('Sales Data'!$D$3:$D$1044,B60,'Sales Data'!$G$3:$G$1044),0)</f>
        <v>179.5</v>
      </c>
      <c r="G60" s="73">
        <f t="shared" si="5"/>
        <v>0.2346758009</v>
      </c>
      <c r="H60" s="74">
        <f t="shared" si="6"/>
        <v>98.54226452</v>
      </c>
      <c r="I60" s="75" t="str">
        <f t="shared" si="7"/>
        <v>C</v>
      </c>
      <c r="J60" s="87" t="s">
        <v>112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89">
        <v>36.0</v>
      </c>
      <c r="B61" s="90" t="s">
        <v>37</v>
      </c>
      <c r="C61" s="91" t="s">
        <v>36</v>
      </c>
      <c r="D61" s="92">
        <f>SUMIF('Sales Data'!$D$3:$D$1044,B61,'Sales Data'!$H$3:$H$1044)</f>
        <v>356</v>
      </c>
      <c r="E61" s="93">
        <f>SUMIF('Sales Data'!$D$3:$D$1044,B61,'Sales Data'!$F$3:$F$1044)</f>
        <v>4</v>
      </c>
      <c r="F61" s="94">
        <f>IFERROR(AVERAGEIF('Sales Data'!$D$3:$D$1044,B61,'Sales Data'!$G$3:$G$1044),0)</f>
        <v>89</v>
      </c>
      <c r="G61" s="73">
        <f t="shared" si="5"/>
        <v>0.2327147218</v>
      </c>
      <c r="H61" s="74">
        <f t="shared" si="6"/>
        <v>98.77497925</v>
      </c>
      <c r="I61" s="75" t="str">
        <f t="shared" si="7"/>
        <v>C</v>
      </c>
      <c r="J61" s="87" t="s">
        <v>112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7">
        <v>37.0</v>
      </c>
      <c r="B62" s="68" t="s">
        <v>43</v>
      </c>
      <c r="C62" s="69" t="s">
        <v>39</v>
      </c>
      <c r="D62" s="70">
        <f>SUMIF('Sales Data'!$D$3:$D$1044,B62,'Sales Data'!$H$3:$H$1044)</f>
        <v>350</v>
      </c>
      <c r="E62" s="71">
        <f>SUMIF('Sales Data'!$D$3:$D$1044,B62,'Sales Data'!$F$3:$F$1044)</f>
        <v>7</v>
      </c>
      <c r="F62" s="85">
        <f>IFERROR(AVERAGEIF('Sales Data'!$D$3:$D$1044,B62,'Sales Data'!$G$3:$G$1044),0)</f>
        <v>50</v>
      </c>
      <c r="G62" s="73">
        <f t="shared" si="5"/>
        <v>0.2287925636</v>
      </c>
      <c r="H62" s="74">
        <f t="shared" si="6"/>
        <v>99.00377181</v>
      </c>
      <c r="I62" s="75" t="str">
        <f t="shared" si="7"/>
        <v>C</v>
      </c>
      <c r="J62" s="87" t="s">
        <v>112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89">
        <v>38.0</v>
      </c>
      <c r="B63" s="90" t="s">
        <v>49</v>
      </c>
      <c r="C63" s="91" t="s">
        <v>48</v>
      </c>
      <c r="D63" s="92">
        <f>SUMIF('Sales Data'!$D$3:$D$1044,B63,'Sales Data'!$H$3:$H$1044)</f>
        <v>280</v>
      </c>
      <c r="E63" s="93">
        <f>SUMIF('Sales Data'!$D$3:$D$1044,B63,'Sales Data'!$F$3:$F$1044)</f>
        <v>7</v>
      </c>
      <c r="F63" s="94">
        <f>IFERROR(AVERAGEIF('Sales Data'!$D$3:$D$1044,B63,'Sales Data'!$G$3:$G$1044),0)</f>
        <v>40</v>
      </c>
      <c r="G63" s="73">
        <f t="shared" si="5"/>
        <v>0.1830340509</v>
      </c>
      <c r="H63" s="74">
        <f t="shared" si="6"/>
        <v>99.18680586</v>
      </c>
      <c r="I63" s="75" t="str">
        <f t="shared" si="7"/>
        <v>C</v>
      </c>
      <c r="J63" s="87" t="s">
        <v>112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7">
        <v>39.0</v>
      </c>
      <c r="B64" s="68" t="s">
        <v>65</v>
      </c>
      <c r="C64" s="69" t="s">
        <v>64</v>
      </c>
      <c r="D64" s="70">
        <f>SUMIF('Sales Data'!$D$3:$D$1044,B64,'Sales Data'!$H$3:$H$1044)</f>
        <v>240</v>
      </c>
      <c r="E64" s="71">
        <f>SUMIF('Sales Data'!$D$3:$D$1044,B64,'Sales Data'!$F$3:$F$1044)</f>
        <v>12</v>
      </c>
      <c r="F64" s="85">
        <f>IFERROR(AVERAGEIF('Sales Data'!$D$3:$D$1044,B64,'Sales Data'!$G$3:$G$1044),0)</f>
        <v>20</v>
      </c>
      <c r="G64" s="73">
        <f t="shared" si="5"/>
        <v>0.1568863293</v>
      </c>
      <c r="H64" s="74">
        <f t="shared" si="6"/>
        <v>99.34369219</v>
      </c>
      <c r="I64" s="75" t="str">
        <f t="shared" si="7"/>
        <v>C</v>
      </c>
      <c r="J64" s="87" t="s">
        <v>112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89">
        <v>40.0</v>
      </c>
      <c r="B65" s="90" t="s">
        <v>66</v>
      </c>
      <c r="C65" s="91" t="s">
        <v>28</v>
      </c>
      <c r="D65" s="92">
        <f>SUMIF('Sales Data'!$D$3:$D$1044,B65,'Sales Data'!$H$3:$H$1044)</f>
        <v>210</v>
      </c>
      <c r="E65" s="93">
        <f>SUMIF('Sales Data'!$D$3:$D$1044,B65,'Sales Data'!$F$3:$F$1044)</f>
        <v>42</v>
      </c>
      <c r="F65" s="94">
        <f>IFERROR(AVERAGEIF('Sales Data'!$D$3:$D$1044,B65,'Sales Data'!$G$3:$G$1044),0)</f>
        <v>5</v>
      </c>
      <c r="G65" s="73">
        <f t="shared" si="5"/>
        <v>0.1372755382</v>
      </c>
      <c r="H65" s="74">
        <f t="shared" si="6"/>
        <v>99.48096773</v>
      </c>
      <c r="I65" s="75" t="str">
        <f t="shared" si="7"/>
        <v>C</v>
      </c>
      <c r="J65" s="87" t="s">
        <v>112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7">
        <v>41.0</v>
      </c>
      <c r="B66" s="68" t="s">
        <v>42</v>
      </c>
      <c r="C66" s="69" t="s">
        <v>39</v>
      </c>
      <c r="D66" s="70">
        <f>SUMIF('Sales Data'!$D$3:$D$1044,B66,'Sales Data'!$H$3:$H$1044)</f>
        <v>180</v>
      </c>
      <c r="E66" s="71">
        <f>SUMIF('Sales Data'!$D$3:$D$1044,B66,'Sales Data'!$F$3:$F$1044)</f>
        <v>3</v>
      </c>
      <c r="F66" s="85">
        <f>IFERROR(AVERAGEIF('Sales Data'!$D$3:$D$1044,B66,'Sales Data'!$G$3:$G$1044),0)</f>
        <v>60</v>
      </c>
      <c r="G66" s="73">
        <f t="shared" si="5"/>
        <v>0.117664747</v>
      </c>
      <c r="H66" s="74">
        <f t="shared" si="6"/>
        <v>99.59863247</v>
      </c>
      <c r="I66" s="75" t="str">
        <f t="shared" si="7"/>
        <v>C</v>
      </c>
      <c r="J66" s="87" t="s">
        <v>112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89">
        <v>42.0</v>
      </c>
      <c r="B67" s="90" t="s">
        <v>50</v>
      </c>
      <c r="C67" s="91" t="s">
        <v>48</v>
      </c>
      <c r="D67" s="92">
        <f>SUMIF('Sales Data'!$D$3:$D$1044,B67,'Sales Data'!$H$3:$H$1044)</f>
        <v>150</v>
      </c>
      <c r="E67" s="93">
        <f>SUMIF('Sales Data'!$D$3:$D$1044,B67,'Sales Data'!$F$3:$F$1044)</f>
        <v>5</v>
      </c>
      <c r="F67" s="94">
        <f>IFERROR(AVERAGEIF('Sales Data'!$D$3:$D$1044,B67,'Sales Data'!$G$3:$G$1044),0)</f>
        <v>30</v>
      </c>
      <c r="G67" s="73">
        <f t="shared" si="5"/>
        <v>0.09805395582</v>
      </c>
      <c r="H67" s="74">
        <f t="shared" si="6"/>
        <v>99.69668643</v>
      </c>
      <c r="I67" s="75" t="str">
        <f t="shared" si="7"/>
        <v>C</v>
      </c>
      <c r="J67" s="87" t="s">
        <v>112</v>
      </c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7">
        <v>43.0</v>
      </c>
      <c r="B68" s="68" t="s">
        <v>44</v>
      </c>
      <c r="C68" s="69" t="s">
        <v>39</v>
      </c>
      <c r="D68" s="70">
        <f>SUMIF('Sales Data'!$D$3:$D$1044,B68,'Sales Data'!$H$3:$H$1044)</f>
        <v>120</v>
      </c>
      <c r="E68" s="71">
        <f>SUMIF('Sales Data'!$D$3:$D$1044,B68,'Sales Data'!$F$3:$F$1044)</f>
        <v>3</v>
      </c>
      <c r="F68" s="85">
        <f>IFERROR(AVERAGEIF('Sales Data'!$D$3:$D$1044,B68,'Sales Data'!$G$3:$G$1044),0)</f>
        <v>40</v>
      </c>
      <c r="G68" s="73">
        <f t="shared" si="5"/>
        <v>0.07844316466</v>
      </c>
      <c r="H68" s="74">
        <f t="shared" si="6"/>
        <v>99.77512959</v>
      </c>
      <c r="I68" s="75" t="str">
        <f t="shared" si="7"/>
        <v>C</v>
      </c>
      <c r="J68" s="87" t="s">
        <v>112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89">
        <v>44.0</v>
      </c>
      <c r="B69" s="90" t="s">
        <v>47</v>
      </c>
      <c r="C69" s="91" t="s">
        <v>48</v>
      </c>
      <c r="D69" s="92">
        <f>SUMIF('Sales Data'!$D$3:$D$1044,B69,'Sales Data'!$H$3:$H$1044)</f>
        <v>120</v>
      </c>
      <c r="E69" s="93">
        <f>SUMIF('Sales Data'!$D$3:$D$1044,B69,'Sales Data'!$F$3:$F$1044)</f>
        <v>3</v>
      </c>
      <c r="F69" s="94">
        <f>IFERROR(AVERAGEIF('Sales Data'!$D$3:$D$1044,B69,'Sales Data'!$G$3:$G$1044),0)</f>
        <v>40</v>
      </c>
      <c r="G69" s="73">
        <f t="shared" si="5"/>
        <v>0.07844316466</v>
      </c>
      <c r="H69" s="74">
        <f t="shared" si="6"/>
        <v>99.85357276</v>
      </c>
      <c r="I69" s="75" t="str">
        <f t="shared" si="7"/>
        <v>C</v>
      </c>
      <c r="J69" s="87" t="s">
        <v>112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7">
        <v>45.0</v>
      </c>
      <c r="B70" s="68" t="s">
        <v>51</v>
      </c>
      <c r="C70" s="69" t="s">
        <v>48</v>
      </c>
      <c r="D70" s="70">
        <f>SUMIF('Sales Data'!$D$3:$D$1044,B70,'Sales Data'!$H$3:$H$1044)</f>
        <v>105</v>
      </c>
      <c r="E70" s="71">
        <f>SUMIF('Sales Data'!$D$3:$D$1044,B70,'Sales Data'!$F$3:$F$1044)</f>
        <v>3</v>
      </c>
      <c r="F70" s="85">
        <f>IFERROR(AVERAGEIF('Sales Data'!$D$3:$D$1044,B70,'Sales Data'!$G$3:$G$1044),0)</f>
        <v>35</v>
      </c>
      <c r="G70" s="73">
        <f t="shared" si="5"/>
        <v>0.06863776908</v>
      </c>
      <c r="H70" s="74">
        <f t="shared" si="6"/>
        <v>99.92221053</v>
      </c>
      <c r="I70" s="75" t="str">
        <f t="shared" si="7"/>
        <v>C</v>
      </c>
      <c r="J70" s="87" t="s">
        <v>112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89">
        <v>46.0</v>
      </c>
      <c r="B71" s="90" t="s">
        <v>30</v>
      </c>
      <c r="C71" s="91" t="s">
        <v>28</v>
      </c>
      <c r="D71" s="92">
        <f>SUMIF('Sales Data'!$D$3:$D$1044,B71,'Sales Data'!$H$3:$H$1044)</f>
        <v>99</v>
      </c>
      <c r="E71" s="93">
        <f>SUMIF('Sales Data'!$D$3:$D$1044,B71,'Sales Data'!$F$3:$F$1044)</f>
        <v>1</v>
      </c>
      <c r="F71" s="94">
        <f>IFERROR(AVERAGEIF('Sales Data'!$D$3:$D$1044,B71,'Sales Data'!$G$3:$G$1044),0)</f>
        <v>99</v>
      </c>
      <c r="G71" s="73">
        <f t="shared" si="5"/>
        <v>0.06471561084</v>
      </c>
      <c r="H71" s="74">
        <f t="shared" si="6"/>
        <v>99.98692614</v>
      </c>
      <c r="I71" s="75" t="str">
        <f t="shared" si="7"/>
        <v>C</v>
      </c>
      <c r="J71" s="87" t="s">
        <v>112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7">
        <v>47.0</v>
      </c>
      <c r="B72" s="68" t="s">
        <v>69</v>
      </c>
      <c r="C72" s="69" t="s">
        <v>68</v>
      </c>
      <c r="D72" s="70">
        <f>SUMIF('Sales Data'!$D$3:$D$1044,B72,'Sales Data'!$H$3:$H$1044)</f>
        <v>20</v>
      </c>
      <c r="E72" s="71">
        <f>SUMIF('Sales Data'!$D$3:$D$1044,B72,'Sales Data'!$F$3:$F$1044)</f>
        <v>1</v>
      </c>
      <c r="F72" s="85">
        <f>IFERROR(AVERAGEIF('Sales Data'!$D$3:$D$1044,B72,'Sales Data'!$G$3:$G$1044),0)</f>
        <v>20</v>
      </c>
      <c r="G72" s="73">
        <f t="shared" si="5"/>
        <v>0.01307386078</v>
      </c>
      <c r="H72" s="74">
        <f t="shared" si="6"/>
        <v>100</v>
      </c>
      <c r="I72" s="75" t="str">
        <f t="shared" si="7"/>
        <v>C</v>
      </c>
      <c r="J72" s="87" t="s">
        <v>112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B73" s="54"/>
    </row>
    <row r="74">
      <c r="B74" s="54"/>
    </row>
    <row r="75" ht="29.25" customHeight="1">
      <c r="A75" s="29" t="s">
        <v>113</v>
      </c>
      <c r="E75" s="2"/>
      <c r="F75" s="2"/>
      <c r="G75" s="2"/>
    </row>
    <row r="76" ht="26.25" customHeight="1">
      <c r="A76" s="30" t="s">
        <v>114</v>
      </c>
      <c r="B76" s="30" t="s">
        <v>90</v>
      </c>
      <c r="C76" s="30" t="s">
        <v>115</v>
      </c>
      <c r="D76" s="30" t="s">
        <v>116</v>
      </c>
      <c r="E76" s="2"/>
      <c r="F76" s="2"/>
      <c r="G76" s="2"/>
    </row>
    <row r="77" ht="15.0" customHeight="1">
      <c r="A77" s="33" t="s">
        <v>117</v>
      </c>
      <c r="B77" s="34">
        <f>SUMPRODUCT(('Sales Data'!$B$3:$B$999="Monday")*IFERROR('Sales Data'!$H$3:$H$999*1,0))</f>
        <v>16703</v>
      </c>
      <c r="C77" s="95">
        <f>B77/SUM(B77:B83)*100</f>
        <v>10.91863483</v>
      </c>
      <c r="D77" s="35">
        <f>SUMPRODUCT(('Sales Data'!$B$3:$B$999="Monday")*IFERROR('Sales Data'!$F$3:$F$999*1,0))</f>
        <v>207</v>
      </c>
      <c r="E77" s="2"/>
      <c r="F77" s="2"/>
      <c r="G77" s="2"/>
    </row>
    <row r="78" ht="15.0" customHeight="1">
      <c r="A78" s="39" t="s">
        <v>118</v>
      </c>
      <c r="B78" s="40">
        <f>SUMPRODUCT(('Sales Data'!$B$3:$B$999="Tuesday")*IFERROR('Sales Data'!$H$3:$H$999*1,0))</f>
        <v>13104</v>
      </c>
      <c r="C78" s="96">
        <f>B78/SUM(B77:B83)*100</f>
        <v>8.565993581</v>
      </c>
      <c r="D78" s="41">
        <f>SUMPRODUCT(('Sales Data'!$B$3:$B$999="Tuesday")*IFERROR('Sales Data'!$F$3:$F$999*1,0))</f>
        <v>150</v>
      </c>
      <c r="E78" s="2"/>
      <c r="F78" s="2"/>
      <c r="G78" s="2"/>
    </row>
    <row r="79" ht="15.0" customHeight="1">
      <c r="A79" s="33" t="s">
        <v>119</v>
      </c>
      <c r="B79" s="34">
        <f>SUMPRODUCT(('Sales Data'!$B$3:$B$999="Wednesday")*IFERROR('Sales Data'!$H$3:$H$999*1,0))</f>
        <v>20729</v>
      </c>
      <c r="C79" s="95">
        <f>B79/SUM(B77:B83)*100</f>
        <v>13.550403</v>
      </c>
      <c r="D79" s="35">
        <f>SUMPRODUCT(('Sales Data'!$B$3:$B$999="Wednesday")*IFERROR('Sales Data'!$F$3:$F$999*1,0))</f>
        <v>237</v>
      </c>
      <c r="E79" s="2"/>
      <c r="F79" s="2"/>
      <c r="G79" s="2"/>
    </row>
    <row r="80" ht="15.0" customHeight="1">
      <c r="A80" s="39" t="s">
        <v>120</v>
      </c>
      <c r="B80" s="40">
        <f>SUMPRODUCT(('Sales Data'!$B$3:$B$999="Thursday")*IFERROR('Sales Data'!$H$3:$H$999*1,0))</f>
        <v>19029</v>
      </c>
      <c r="C80" s="96">
        <f>B80/SUM(B77:B83)*100</f>
        <v>12.43912484</v>
      </c>
      <c r="D80" s="41">
        <f>SUMPRODUCT(('Sales Data'!$B$3:$B$999="Thursday")*IFERROR('Sales Data'!$F$3:$F$999*1,0))</f>
        <v>219</v>
      </c>
      <c r="E80" s="2"/>
      <c r="F80" s="2"/>
      <c r="G80" s="2"/>
    </row>
    <row r="81" ht="15.0" customHeight="1">
      <c r="A81" s="33" t="s">
        <v>121</v>
      </c>
      <c r="B81" s="34">
        <f>SUMPRODUCT(('Sales Data'!$B$3:$B$999="Friday")*IFERROR('Sales Data'!$H$3:$H$999*1,0))</f>
        <v>19642</v>
      </c>
      <c r="C81" s="95">
        <f>B81/SUM(B77:B83)*100</f>
        <v>12.83983867</v>
      </c>
      <c r="D81" s="35">
        <f>SUMPRODUCT(('Sales Data'!$B$3:$B$999="Friday")*IFERROR('Sales Data'!$F$3:$F$999*1,0))</f>
        <v>225</v>
      </c>
      <c r="E81" s="2"/>
      <c r="F81" s="2"/>
      <c r="G81" s="2"/>
    </row>
    <row r="82" ht="15.0" customHeight="1">
      <c r="A82" s="39" t="s">
        <v>122</v>
      </c>
      <c r="B82" s="40">
        <f>SUMPRODUCT(('Sales Data'!$B$3:$B$999="Saturday")*IFERROR('Sales Data'!$H$3:$H$999*1,0))</f>
        <v>26971</v>
      </c>
      <c r="C82" s="96">
        <f>B82/SUM(B77:B83)*100</f>
        <v>17.63075495</v>
      </c>
      <c r="D82" s="41">
        <f>SUMPRODUCT(('Sales Data'!$B$3:$B$999="Saturday")*IFERROR('Sales Data'!$F$3:$F$999*1,0))</f>
        <v>328</v>
      </c>
      <c r="E82" s="2"/>
      <c r="F82" s="2"/>
      <c r="G82" s="2"/>
    </row>
    <row r="83" ht="15.0" customHeight="1">
      <c r="A83" s="33" t="s">
        <v>123</v>
      </c>
      <c r="B83" s="34">
        <f>SUMPRODUCT(('Sales Data'!$B$3:$B$999="Sunday")*IFERROR('Sales Data'!$H$3:$H$999*1,0))</f>
        <v>36799</v>
      </c>
      <c r="C83" s="95">
        <f>B83/SUM(B77:B83)*100</f>
        <v>24.05525014</v>
      </c>
      <c r="D83" s="35">
        <f>SUMPRODUCT(('Sales Data'!$B$3:$B$999="Sunday")*IFERROR('Sales Data'!$F$3:$F$999*1,0))</f>
        <v>408</v>
      </c>
      <c r="E83" s="2"/>
      <c r="F83" s="2"/>
      <c r="G83" s="2"/>
    </row>
    <row r="84" ht="15.0" customHeight="1">
      <c r="A84" s="49" t="s">
        <v>101</v>
      </c>
      <c r="B84" s="50">
        <f>SUM(B77:B83)</f>
        <v>152977</v>
      </c>
      <c r="C84" s="49" t="s">
        <v>124</v>
      </c>
      <c r="D84" s="49">
        <f>SUM(D77:D83)</f>
        <v>1774</v>
      </c>
      <c r="E84" s="2"/>
      <c r="F84" s="2"/>
      <c r="G84" s="2"/>
    </row>
    <row r="85">
      <c r="B85" s="54"/>
    </row>
    <row r="86">
      <c r="B86" s="54"/>
    </row>
    <row r="87" ht="29.25" customHeight="1">
      <c r="A87" s="29" t="s">
        <v>125</v>
      </c>
      <c r="D87" s="2"/>
      <c r="E87" s="2"/>
      <c r="F87" s="2"/>
      <c r="G87" s="2"/>
    </row>
    <row r="88" ht="15.0" customHeight="1">
      <c r="A88" s="30" t="s">
        <v>126</v>
      </c>
      <c r="B88" s="97" t="s">
        <v>127</v>
      </c>
      <c r="C88" s="2"/>
      <c r="D88" s="2"/>
      <c r="E88" s="2"/>
      <c r="F88" s="2"/>
      <c r="G88" s="2"/>
    </row>
    <row r="89" ht="15.0" customHeight="1">
      <c r="A89" s="98" t="s">
        <v>128</v>
      </c>
      <c r="B89" s="99">
        <f>SUMPRODUCT(IFERROR('Sales Data'!$H$3:$H$999*1,0))</f>
        <v>152977</v>
      </c>
      <c r="C89" s="2"/>
      <c r="D89" s="2"/>
      <c r="E89" s="2"/>
      <c r="F89" s="2"/>
      <c r="G89" s="2"/>
    </row>
    <row r="90" ht="15.0" customHeight="1">
      <c r="A90" s="100" t="s">
        <v>129</v>
      </c>
      <c r="B90" s="101">
        <f>COUNTA('Sales Data'!$D$3:$D$999)</f>
        <v>997</v>
      </c>
      <c r="C90" s="2"/>
      <c r="D90" s="2"/>
      <c r="E90" s="2"/>
      <c r="F90" s="2"/>
      <c r="G90" s="2"/>
    </row>
    <row r="91" ht="15.0" customHeight="1">
      <c r="A91" s="98" t="s">
        <v>130</v>
      </c>
      <c r="B91" s="99">
        <f>SUMPRODUCT(IFERROR('Sales Data'!$F$3:$F$999*1,0))</f>
        <v>1774</v>
      </c>
      <c r="C91" s="2"/>
      <c r="D91" s="2"/>
      <c r="E91" s="2"/>
      <c r="F91" s="2"/>
      <c r="G91" s="2"/>
    </row>
    <row r="92" ht="15.0" customHeight="1">
      <c r="A92" s="100" t="s">
        <v>131</v>
      </c>
      <c r="B92" s="101">
        <f t="array" ref="B92">SUMPRODUCT(1/COUNTIF('Sales Data'!$A$3:$A$999,'Sales Data'!$A$3:$A$999))</f>
        <v>139</v>
      </c>
      <c r="C92" s="2"/>
      <c r="D92" s="2"/>
      <c r="E92" s="2"/>
      <c r="F92" s="2"/>
      <c r="G92" s="2"/>
    </row>
    <row r="93" ht="15.0" customHeight="1">
      <c r="A93" s="98" t="s">
        <v>132</v>
      </c>
      <c r="B93" s="99">
        <f t="array" ref="B93">SUMPRODUCT(IFERROR('Sales Data'!$H$3:$H$999*1,0))/SUMPRODUCT(1/COUNTIF('Sales Data'!$A$3:$A$999,'Sales Data'!$A$3:$A$999))</f>
        <v>1100.553957</v>
      </c>
      <c r="C93" s="2"/>
      <c r="D93" s="2"/>
      <c r="E93" s="2"/>
      <c r="F93" s="2"/>
      <c r="G93" s="2"/>
    </row>
    <row r="94" ht="15.0" customHeight="1">
      <c r="A94" s="100" t="s">
        <v>133</v>
      </c>
      <c r="B94" s="101">
        <v>923.0</v>
      </c>
      <c r="C94" s="2" t="s">
        <v>134</v>
      </c>
      <c r="D94" s="2"/>
      <c r="E94" s="2"/>
      <c r="F94" s="2"/>
      <c r="G94" s="2"/>
    </row>
    <row r="95" ht="15.0" customHeight="1">
      <c r="A95" s="98" t="s">
        <v>135</v>
      </c>
      <c r="B95" s="102">
        <v>853.56</v>
      </c>
      <c r="C95" s="2" t="s">
        <v>134</v>
      </c>
      <c r="D95" s="2"/>
      <c r="E95" s="2"/>
      <c r="F95" s="2"/>
      <c r="G95" s="2"/>
    </row>
    <row r="96" ht="15.0" customHeight="1">
      <c r="A96" s="100" t="s">
        <v>136</v>
      </c>
      <c r="B96" s="101">
        <v>189.0</v>
      </c>
      <c r="C96" s="2" t="s">
        <v>134</v>
      </c>
      <c r="D96" s="103"/>
      <c r="E96" s="2"/>
      <c r="F96" s="2"/>
      <c r="G96" s="2"/>
    </row>
    <row r="97" ht="15.0" customHeight="1">
      <c r="A97" s="98" t="s">
        <v>137</v>
      </c>
      <c r="B97" s="99">
        <v>7425.0</v>
      </c>
      <c r="C97" s="2" t="s">
        <v>134</v>
      </c>
      <c r="D97" s="2"/>
      <c r="E97" s="2"/>
      <c r="F97" s="2"/>
      <c r="G97" s="2"/>
    </row>
    <row r="98" ht="15.0" customHeight="1">
      <c r="A98" s="100" t="s">
        <v>138</v>
      </c>
      <c r="B98" s="104">
        <v>54.0</v>
      </c>
      <c r="C98" s="2"/>
      <c r="D98" s="2"/>
      <c r="E98" s="2"/>
      <c r="F98" s="2"/>
      <c r="G98" s="2"/>
    </row>
    <row r="99">
      <c r="B99" s="54"/>
    </row>
    <row r="100">
      <c r="B100" s="54"/>
    </row>
    <row r="101" ht="32.25" customHeight="1">
      <c r="A101" s="29" t="s">
        <v>139</v>
      </c>
      <c r="H101" s="29"/>
      <c r="I101" s="29"/>
      <c r="J101" s="29"/>
      <c r="K101" s="105"/>
      <c r="L101" s="10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107" t="s">
        <v>140</v>
      </c>
      <c r="B102" s="107" t="s">
        <v>141</v>
      </c>
      <c r="C102" s="107" t="s">
        <v>142</v>
      </c>
      <c r="D102" s="107" t="s">
        <v>143</v>
      </c>
      <c r="E102" s="107" t="s">
        <v>144</v>
      </c>
      <c r="F102" s="107" t="s">
        <v>145</v>
      </c>
      <c r="G102" s="107" t="s">
        <v>146</v>
      </c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7">
        <v>1.0</v>
      </c>
      <c r="B103" s="68" t="s">
        <v>147</v>
      </c>
      <c r="C103" s="70">
        <v>4047.0</v>
      </c>
      <c r="D103" s="108"/>
      <c r="E103" s="109"/>
      <c r="F103" s="110"/>
      <c r="G103" s="111" t="s">
        <v>148</v>
      </c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89">
        <v>2.0</v>
      </c>
      <c r="B104" s="90" t="s">
        <v>149</v>
      </c>
      <c r="C104" s="92">
        <v>7309.0</v>
      </c>
      <c r="D104" s="112"/>
      <c r="E104" s="113"/>
      <c r="F104" s="114"/>
      <c r="G104" s="115" t="s">
        <v>148</v>
      </c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7">
        <v>3.0</v>
      </c>
      <c r="B105" s="68" t="s">
        <v>150</v>
      </c>
      <c r="C105" s="70">
        <v>10240.0</v>
      </c>
      <c r="D105" s="108"/>
      <c r="E105" s="109"/>
      <c r="F105" s="110"/>
      <c r="G105" s="111" t="s">
        <v>148</v>
      </c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89">
        <v>4.0</v>
      </c>
      <c r="B106" s="90" t="s">
        <v>151</v>
      </c>
      <c r="C106" s="92">
        <v>5438.0</v>
      </c>
      <c r="D106" s="92">
        <f t="shared" ref="D106:D125" si="8">IFERROR(AVERAGE(C103:C106),"")</f>
        <v>6758.5</v>
      </c>
      <c r="E106" s="116">
        <f t="shared" ref="E106:E125" si="9">IFERROR(C106-D106,"")</f>
        <v>-1320.5</v>
      </c>
      <c r="F106" s="117">
        <f t="shared" ref="F106:F125" si="10">IFERROR((C106-D106)/D106*100,"")</f>
        <v>-19.5383591</v>
      </c>
      <c r="G106" s="115" t="s">
        <v>148</v>
      </c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7">
        <v>5.0</v>
      </c>
      <c r="B107" s="68" t="s">
        <v>152</v>
      </c>
      <c r="C107" s="70">
        <v>9263.0</v>
      </c>
      <c r="D107" s="70">
        <f t="shared" si="8"/>
        <v>8062.5</v>
      </c>
      <c r="E107" s="118">
        <f t="shared" si="9"/>
        <v>1200.5</v>
      </c>
      <c r="F107" s="74">
        <f t="shared" si="10"/>
        <v>14.88992248</v>
      </c>
      <c r="G107" s="111" t="s">
        <v>148</v>
      </c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89">
        <v>6.0</v>
      </c>
      <c r="B108" s="90" t="s">
        <v>153</v>
      </c>
      <c r="C108" s="92">
        <v>2964.0</v>
      </c>
      <c r="D108" s="92">
        <f t="shared" si="8"/>
        <v>6976.25</v>
      </c>
      <c r="E108" s="116">
        <f t="shared" si="9"/>
        <v>-4012.25</v>
      </c>
      <c r="F108" s="117">
        <f t="shared" si="10"/>
        <v>-57.5129905</v>
      </c>
      <c r="G108" s="115" t="s">
        <v>148</v>
      </c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7">
        <v>7.0</v>
      </c>
      <c r="B109" s="68" t="s">
        <v>154</v>
      </c>
      <c r="C109" s="70">
        <v>7138.0</v>
      </c>
      <c r="D109" s="70">
        <f t="shared" si="8"/>
        <v>6200.75</v>
      </c>
      <c r="E109" s="118">
        <f t="shared" si="9"/>
        <v>937.25</v>
      </c>
      <c r="F109" s="74">
        <f t="shared" si="10"/>
        <v>15.11510704</v>
      </c>
      <c r="G109" s="111" t="s">
        <v>148</v>
      </c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89">
        <v>8.0</v>
      </c>
      <c r="B110" s="90" t="s">
        <v>155</v>
      </c>
      <c r="C110" s="92">
        <v>9013.0</v>
      </c>
      <c r="D110" s="92">
        <f t="shared" si="8"/>
        <v>7094.5</v>
      </c>
      <c r="E110" s="119">
        <f t="shared" si="9"/>
        <v>1918.5</v>
      </c>
      <c r="F110" s="117">
        <f t="shared" si="10"/>
        <v>27.04207485</v>
      </c>
      <c r="G110" s="115" t="s">
        <v>148</v>
      </c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7">
        <v>9.0</v>
      </c>
      <c r="B111" s="68" t="s">
        <v>156</v>
      </c>
      <c r="C111" s="70">
        <v>8694.0</v>
      </c>
      <c r="D111" s="70">
        <f t="shared" si="8"/>
        <v>6952.25</v>
      </c>
      <c r="E111" s="118">
        <f t="shared" si="9"/>
        <v>1741.75</v>
      </c>
      <c r="F111" s="74">
        <f t="shared" si="10"/>
        <v>25.05304038</v>
      </c>
      <c r="G111" s="111" t="s">
        <v>148</v>
      </c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89">
        <v>10.0</v>
      </c>
      <c r="B112" s="90" t="s">
        <v>157</v>
      </c>
      <c r="C112" s="92">
        <v>5068.0</v>
      </c>
      <c r="D112" s="92">
        <f t="shared" si="8"/>
        <v>7478.25</v>
      </c>
      <c r="E112" s="116">
        <f t="shared" si="9"/>
        <v>-2410.25</v>
      </c>
      <c r="F112" s="117">
        <f t="shared" si="10"/>
        <v>-32.23013406</v>
      </c>
      <c r="G112" s="115" t="s">
        <v>148</v>
      </c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7">
        <v>11.0</v>
      </c>
      <c r="B113" s="68" t="s">
        <v>158</v>
      </c>
      <c r="C113" s="70">
        <v>4009.0</v>
      </c>
      <c r="D113" s="70">
        <f t="shared" si="8"/>
        <v>6696</v>
      </c>
      <c r="E113" s="120">
        <f t="shared" si="9"/>
        <v>-2687</v>
      </c>
      <c r="F113" s="74">
        <f t="shared" si="10"/>
        <v>-40.12843489</v>
      </c>
      <c r="G113" s="111" t="s">
        <v>148</v>
      </c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89">
        <v>12.0</v>
      </c>
      <c r="B114" s="90" t="s">
        <v>159</v>
      </c>
      <c r="C114" s="92">
        <v>8754.0</v>
      </c>
      <c r="D114" s="92">
        <f t="shared" si="8"/>
        <v>6631.25</v>
      </c>
      <c r="E114" s="119">
        <f t="shared" si="9"/>
        <v>2122.75</v>
      </c>
      <c r="F114" s="117">
        <f t="shared" si="10"/>
        <v>32.01131008</v>
      </c>
      <c r="G114" s="115" t="s">
        <v>148</v>
      </c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7">
        <v>13.0</v>
      </c>
      <c r="B115" s="68" t="s">
        <v>160</v>
      </c>
      <c r="C115" s="70">
        <v>5597.0</v>
      </c>
      <c r="D115" s="70">
        <f t="shared" si="8"/>
        <v>5857</v>
      </c>
      <c r="E115" s="120">
        <f t="shared" si="9"/>
        <v>-260</v>
      </c>
      <c r="F115" s="74">
        <f t="shared" si="10"/>
        <v>-4.439132662</v>
      </c>
      <c r="G115" s="111" t="s">
        <v>148</v>
      </c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89">
        <v>14.0</v>
      </c>
      <c r="B116" s="90" t="s">
        <v>161</v>
      </c>
      <c r="C116" s="92">
        <v>8204.0</v>
      </c>
      <c r="D116" s="92">
        <f t="shared" si="8"/>
        <v>6641</v>
      </c>
      <c r="E116" s="119">
        <f t="shared" si="9"/>
        <v>1563</v>
      </c>
      <c r="F116" s="117">
        <f t="shared" si="10"/>
        <v>23.53561211</v>
      </c>
      <c r="G116" s="115" t="s">
        <v>148</v>
      </c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7">
        <v>15.0</v>
      </c>
      <c r="B117" s="68" t="s">
        <v>162</v>
      </c>
      <c r="C117" s="70">
        <v>5323.0</v>
      </c>
      <c r="D117" s="70">
        <f t="shared" si="8"/>
        <v>6969.5</v>
      </c>
      <c r="E117" s="120">
        <f t="shared" si="9"/>
        <v>-1646.5</v>
      </c>
      <c r="F117" s="74">
        <f t="shared" si="10"/>
        <v>-23.6243633</v>
      </c>
      <c r="G117" s="111" t="s">
        <v>148</v>
      </c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89">
        <v>16.0</v>
      </c>
      <c r="B118" s="90" t="s">
        <v>163</v>
      </c>
      <c r="C118" s="92">
        <v>6094.0</v>
      </c>
      <c r="D118" s="92">
        <f t="shared" si="8"/>
        <v>6304.5</v>
      </c>
      <c r="E118" s="116">
        <f t="shared" si="9"/>
        <v>-210.5</v>
      </c>
      <c r="F118" s="117">
        <f t="shared" si="10"/>
        <v>-3.338884923</v>
      </c>
      <c r="G118" s="115" t="s">
        <v>148</v>
      </c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7">
        <v>17.0</v>
      </c>
      <c r="B119" s="68" t="s">
        <v>164</v>
      </c>
      <c r="C119" s="70">
        <v>3806.0</v>
      </c>
      <c r="D119" s="70">
        <f t="shared" si="8"/>
        <v>5856.75</v>
      </c>
      <c r="E119" s="120">
        <f t="shared" si="9"/>
        <v>-2050.75</v>
      </c>
      <c r="F119" s="74">
        <f t="shared" si="10"/>
        <v>-35.01515346</v>
      </c>
      <c r="G119" s="111" t="s">
        <v>148</v>
      </c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89">
        <v>18.0</v>
      </c>
      <c r="B120" s="90" t="s">
        <v>165</v>
      </c>
      <c r="C120" s="92">
        <v>7573.0</v>
      </c>
      <c r="D120" s="92">
        <f t="shared" si="8"/>
        <v>5699</v>
      </c>
      <c r="E120" s="119">
        <f t="shared" si="9"/>
        <v>1874</v>
      </c>
      <c r="F120" s="117">
        <f t="shared" si="10"/>
        <v>32.88296192</v>
      </c>
      <c r="G120" s="115" t="s">
        <v>148</v>
      </c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7">
        <v>19.0</v>
      </c>
      <c r="B121" s="68" t="s">
        <v>166</v>
      </c>
      <c r="C121" s="70">
        <v>6744.0</v>
      </c>
      <c r="D121" s="70">
        <f t="shared" si="8"/>
        <v>6054.25</v>
      </c>
      <c r="E121" s="118">
        <f t="shared" si="9"/>
        <v>689.75</v>
      </c>
      <c r="F121" s="74">
        <f t="shared" si="10"/>
        <v>11.39282322</v>
      </c>
      <c r="G121" s="111" t="s">
        <v>148</v>
      </c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89">
        <v>20.0</v>
      </c>
      <c r="B122" s="90" t="s">
        <v>167</v>
      </c>
      <c r="C122" s="92">
        <v>15248.0</v>
      </c>
      <c r="D122" s="92">
        <f t="shared" si="8"/>
        <v>8342.75</v>
      </c>
      <c r="E122" s="119">
        <f t="shared" si="9"/>
        <v>6905.25</v>
      </c>
      <c r="F122" s="117">
        <f t="shared" si="10"/>
        <v>82.7694705</v>
      </c>
      <c r="G122" s="115" t="s">
        <v>148</v>
      </c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7">
        <v>21.0</v>
      </c>
      <c r="B123" s="68" t="s">
        <v>168</v>
      </c>
      <c r="C123" s="70">
        <v>5377.0</v>
      </c>
      <c r="D123" s="70">
        <f t="shared" si="8"/>
        <v>8735.5</v>
      </c>
      <c r="E123" s="120">
        <f t="shared" si="9"/>
        <v>-3358.5</v>
      </c>
      <c r="F123" s="74">
        <f t="shared" si="10"/>
        <v>-38.4465686</v>
      </c>
      <c r="G123" s="111" t="s">
        <v>148</v>
      </c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89">
        <v>22.0</v>
      </c>
      <c r="B124" s="90" t="s">
        <v>169</v>
      </c>
      <c r="C124" s="92">
        <v>4878.0</v>
      </c>
      <c r="D124" s="92">
        <f t="shared" si="8"/>
        <v>8061.75</v>
      </c>
      <c r="E124" s="116">
        <f t="shared" si="9"/>
        <v>-3183.75</v>
      </c>
      <c r="F124" s="117">
        <f t="shared" si="10"/>
        <v>-39.49204577</v>
      </c>
      <c r="G124" s="115" t="s">
        <v>148</v>
      </c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7">
        <v>23.0</v>
      </c>
      <c r="B125" s="68" t="s">
        <v>170</v>
      </c>
      <c r="C125" s="70">
        <v>2196.0</v>
      </c>
      <c r="D125" s="70">
        <f t="shared" si="8"/>
        <v>6924.75</v>
      </c>
      <c r="E125" s="120">
        <f t="shared" si="9"/>
        <v>-4728.75</v>
      </c>
      <c r="F125" s="74">
        <f t="shared" si="10"/>
        <v>-68.28766381</v>
      </c>
      <c r="G125" s="111" t="s">
        <v>148</v>
      </c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121">
        <v>24.0</v>
      </c>
      <c r="B126" s="122" t="s">
        <v>171</v>
      </c>
      <c r="C126" s="123"/>
      <c r="D126" s="124">
        <f>IFERROR(AVERAGE(C122:C125),"")</f>
        <v>6924.75</v>
      </c>
      <c r="E126" s="125"/>
      <c r="F126" s="126"/>
      <c r="G126" s="127" t="s">
        <v>172</v>
      </c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121">
        <v>25.0</v>
      </c>
      <c r="B127" s="122" t="s">
        <v>173</v>
      </c>
      <c r="C127" s="123"/>
      <c r="D127" s="128" t="s">
        <v>174</v>
      </c>
      <c r="E127" s="125"/>
      <c r="F127" s="126"/>
      <c r="G127" s="127" t="s">
        <v>172</v>
      </c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121">
        <v>26.0</v>
      </c>
      <c r="B128" s="122" t="s">
        <v>175</v>
      </c>
      <c r="C128" s="123"/>
      <c r="D128" s="129" t="s">
        <v>176</v>
      </c>
      <c r="E128" s="125"/>
      <c r="F128" s="126"/>
      <c r="G128" s="127" t="s">
        <v>172</v>
      </c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121">
        <v>27.0</v>
      </c>
      <c r="B129" s="122" t="s">
        <v>177</v>
      </c>
      <c r="C129" s="123"/>
      <c r="D129" s="130" t="s">
        <v>178</v>
      </c>
      <c r="E129" s="125"/>
      <c r="F129" s="126"/>
      <c r="G129" s="127" t="s">
        <v>172</v>
      </c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B130" s="54"/>
    </row>
    <row r="131">
      <c r="B131" s="54"/>
    </row>
    <row r="132">
      <c r="A132" s="131" t="s">
        <v>179</v>
      </c>
      <c r="B132" s="24"/>
      <c r="C132" s="24"/>
      <c r="D132" s="24"/>
      <c r="E132" s="106"/>
    </row>
    <row r="133">
      <c r="A133" s="132" t="s">
        <v>74</v>
      </c>
      <c r="B133" s="107" t="s">
        <v>90</v>
      </c>
      <c r="C133" s="132" t="s">
        <v>103</v>
      </c>
      <c r="D133" s="132" t="s">
        <v>180</v>
      </c>
      <c r="E133" s="66"/>
    </row>
    <row r="134">
      <c r="A134" s="133" t="s">
        <v>2</v>
      </c>
      <c r="B134" s="134">
        <f>SUMIF('Sales Data'!$E$3:$E$1044,A134,'Sales Data'!$H$3:$H$1044)</f>
        <v>44814</v>
      </c>
      <c r="C134" s="93">
        <f>SUMIF('Sales Data'!$E$3:$E$1044,A134,'Sales Data'!$F$3:$F$1044)</f>
        <v>569</v>
      </c>
      <c r="D134" s="117">
        <f t="shared" ref="D134:D136" si="11">IFERROR(B134/SUM(B$134:B$136)*100,0)</f>
        <v>42.4290624</v>
      </c>
      <c r="E134" s="66"/>
    </row>
    <row r="135">
      <c r="A135" s="135" t="s">
        <v>3</v>
      </c>
      <c r="B135" s="136">
        <f>SUMIF('Sales Data'!$E$3:$E$1044,A135,'Sales Data'!$H$3:$H$1044)</f>
        <v>36510</v>
      </c>
      <c r="C135" s="71">
        <f>SUMIF('Sales Data'!$E$3:$E$1044,A135,'Sales Data'!$F$3:$F$1044)</f>
        <v>233</v>
      </c>
      <c r="D135" s="117">
        <f t="shared" si="11"/>
        <v>34.56698952</v>
      </c>
      <c r="E135" s="66"/>
    </row>
    <row r="136">
      <c r="A136" s="133" t="s">
        <v>4</v>
      </c>
      <c r="B136" s="134">
        <f>SUMIF('Sales Data'!$E$3:$E$1044,A136,'Sales Data'!$H$3:$H$1044)</f>
        <v>24297</v>
      </c>
      <c r="C136" s="93">
        <f>SUMIF('Sales Data'!$E$3:$E$1044,A136,'Sales Data'!$F$3:$F$1044)</f>
        <v>94</v>
      </c>
      <c r="D136" s="117">
        <f t="shared" si="11"/>
        <v>23.00394808</v>
      </c>
      <c r="E136" s="66"/>
    </row>
    <row r="137">
      <c r="A137" s="137" t="s">
        <v>181</v>
      </c>
      <c r="B137" s="138">
        <f t="shared" ref="B137:D137" si="12">SUM(B134:B136)</f>
        <v>105621</v>
      </c>
      <c r="C137" s="139">
        <f t="shared" si="12"/>
        <v>896</v>
      </c>
      <c r="D137" s="140">
        <f t="shared" si="12"/>
        <v>100</v>
      </c>
    </row>
    <row r="138">
      <c r="B138" s="54"/>
    </row>
    <row r="139">
      <c r="B139" s="54"/>
    </row>
    <row r="140">
      <c r="B140" s="54"/>
    </row>
    <row r="141">
      <c r="B141" s="54"/>
    </row>
    <row r="142">
      <c r="B142" s="54"/>
    </row>
    <row r="143">
      <c r="B143" s="54"/>
    </row>
    <row r="144">
      <c r="B144" s="54"/>
    </row>
    <row r="145">
      <c r="B145" s="54"/>
    </row>
    <row r="146">
      <c r="B146" s="54"/>
    </row>
    <row r="147">
      <c r="B147" s="54"/>
    </row>
    <row r="148">
      <c r="B148" s="54"/>
    </row>
    <row r="149">
      <c r="B149" s="54"/>
    </row>
    <row r="150">
      <c r="B150" s="54"/>
    </row>
    <row r="151">
      <c r="B151" s="54"/>
    </row>
    <row r="152">
      <c r="B152" s="54"/>
    </row>
    <row r="153">
      <c r="B153" s="54"/>
    </row>
    <row r="154">
      <c r="B154" s="54"/>
    </row>
    <row r="155">
      <c r="B155" s="54"/>
    </row>
    <row r="156">
      <c r="B156" s="54"/>
    </row>
    <row r="157">
      <c r="B157" s="54"/>
    </row>
    <row r="158">
      <c r="B158" s="54"/>
    </row>
    <row r="159">
      <c r="B159" s="54"/>
    </row>
    <row r="160">
      <c r="B160" s="54"/>
    </row>
    <row r="161">
      <c r="B161" s="54"/>
    </row>
    <row r="162">
      <c r="B162" s="54"/>
    </row>
    <row r="163">
      <c r="B163" s="54"/>
    </row>
    <row r="164">
      <c r="B164" s="54"/>
    </row>
    <row r="165">
      <c r="B165" s="54"/>
    </row>
    <row r="166">
      <c r="B166" s="54"/>
    </row>
    <row r="167">
      <c r="B167" s="54"/>
    </row>
    <row r="168">
      <c r="B168" s="54"/>
    </row>
    <row r="169">
      <c r="B169" s="54"/>
    </row>
    <row r="170">
      <c r="B170" s="54"/>
    </row>
    <row r="171">
      <c r="B171" s="54"/>
    </row>
    <row r="172">
      <c r="B172" s="54"/>
    </row>
    <row r="173">
      <c r="B173" s="54"/>
    </row>
    <row r="174">
      <c r="B174" s="54"/>
    </row>
    <row r="175">
      <c r="B175" s="54"/>
    </row>
    <row r="176">
      <c r="B176" s="54"/>
    </row>
    <row r="177">
      <c r="B177" s="54"/>
    </row>
    <row r="178">
      <c r="B178" s="54"/>
    </row>
    <row r="179">
      <c r="B179" s="54"/>
    </row>
    <row r="180">
      <c r="B180" s="54"/>
    </row>
    <row r="181">
      <c r="B181" s="54"/>
    </row>
    <row r="182">
      <c r="B182" s="54"/>
    </row>
    <row r="183">
      <c r="B183" s="54"/>
    </row>
    <row r="184">
      <c r="B184" s="54"/>
    </row>
    <row r="185">
      <c r="B185" s="54"/>
    </row>
    <row r="186">
      <c r="B186" s="54"/>
    </row>
    <row r="187">
      <c r="B187" s="54"/>
    </row>
    <row r="188">
      <c r="B188" s="54"/>
    </row>
    <row r="189">
      <c r="B189" s="54"/>
    </row>
    <row r="190">
      <c r="B190" s="54"/>
    </row>
    <row r="191">
      <c r="B191" s="54"/>
    </row>
    <row r="192">
      <c r="B192" s="54"/>
    </row>
    <row r="193">
      <c r="B193" s="54"/>
    </row>
    <row r="194">
      <c r="B194" s="54"/>
    </row>
    <row r="195">
      <c r="B195" s="54"/>
    </row>
    <row r="196">
      <c r="B196" s="54"/>
    </row>
    <row r="197">
      <c r="B197" s="54"/>
    </row>
    <row r="198">
      <c r="B198" s="54"/>
    </row>
    <row r="199">
      <c r="B199" s="54"/>
    </row>
    <row r="200">
      <c r="B200" s="54"/>
    </row>
    <row r="201">
      <c r="B201" s="54"/>
    </row>
    <row r="202">
      <c r="B202" s="54"/>
    </row>
    <row r="203">
      <c r="B203" s="54"/>
    </row>
    <row r="204">
      <c r="B204" s="54"/>
    </row>
    <row r="205">
      <c r="B205" s="54"/>
    </row>
    <row r="206">
      <c r="B206" s="54"/>
    </row>
    <row r="207">
      <c r="B207" s="54"/>
    </row>
    <row r="208">
      <c r="B208" s="54"/>
    </row>
    <row r="209">
      <c r="B209" s="54"/>
    </row>
    <row r="210">
      <c r="B210" s="54"/>
    </row>
    <row r="211">
      <c r="B211" s="54"/>
    </row>
    <row r="212">
      <c r="B212" s="54"/>
    </row>
    <row r="213">
      <c r="B213" s="54"/>
    </row>
    <row r="214">
      <c r="B214" s="54"/>
    </row>
    <row r="215">
      <c r="B215" s="54"/>
    </row>
    <row r="216">
      <c r="B216" s="54"/>
    </row>
    <row r="217">
      <c r="B217" s="54"/>
    </row>
    <row r="218">
      <c r="B218" s="54"/>
    </row>
    <row r="219">
      <c r="B219" s="54"/>
    </row>
    <row r="220">
      <c r="B220" s="54"/>
    </row>
    <row r="221">
      <c r="B221" s="54"/>
    </row>
    <row r="222">
      <c r="B222" s="54"/>
    </row>
    <row r="223">
      <c r="B223" s="54"/>
    </row>
    <row r="224">
      <c r="B224" s="54"/>
    </row>
    <row r="225">
      <c r="B225" s="54"/>
    </row>
    <row r="226">
      <c r="B226" s="54"/>
    </row>
    <row r="227">
      <c r="B227" s="54"/>
    </row>
    <row r="228">
      <c r="B228" s="54"/>
    </row>
    <row r="229">
      <c r="B229" s="54"/>
    </row>
    <row r="230">
      <c r="B230" s="54"/>
    </row>
    <row r="231">
      <c r="B231" s="54"/>
    </row>
    <row r="232">
      <c r="B232" s="54"/>
    </row>
    <row r="233">
      <c r="B233" s="54"/>
    </row>
    <row r="234">
      <c r="B234" s="54"/>
    </row>
    <row r="235">
      <c r="B235" s="54"/>
    </row>
    <row r="236">
      <c r="B236" s="54"/>
    </row>
    <row r="237">
      <c r="B237" s="54"/>
    </row>
    <row r="238">
      <c r="B238" s="54"/>
    </row>
    <row r="239">
      <c r="B239" s="54"/>
    </row>
    <row r="240">
      <c r="B240" s="54"/>
    </row>
    <row r="241">
      <c r="B241" s="54"/>
    </row>
    <row r="242">
      <c r="B242" s="54"/>
    </row>
    <row r="243">
      <c r="B243" s="54"/>
    </row>
    <row r="244">
      <c r="B244" s="54"/>
    </row>
    <row r="245">
      <c r="B245" s="54"/>
    </row>
    <row r="246">
      <c r="B246" s="54"/>
    </row>
    <row r="247">
      <c r="B247" s="54"/>
    </row>
    <row r="248">
      <c r="B248" s="54"/>
    </row>
    <row r="249">
      <c r="B249" s="54"/>
    </row>
    <row r="250">
      <c r="B250" s="54"/>
    </row>
    <row r="251">
      <c r="B251" s="54"/>
    </row>
    <row r="252">
      <c r="B252" s="54"/>
    </row>
    <row r="253">
      <c r="B253" s="54"/>
    </row>
    <row r="254">
      <c r="B254" s="54"/>
    </row>
    <row r="255">
      <c r="B255" s="54"/>
    </row>
    <row r="256">
      <c r="B256" s="54"/>
    </row>
    <row r="257">
      <c r="B257" s="54"/>
    </row>
    <row r="258">
      <c r="B258" s="54"/>
    </row>
    <row r="259">
      <c r="B259" s="54"/>
    </row>
    <row r="260">
      <c r="B260" s="54"/>
    </row>
    <row r="261">
      <c r="B261" s="54"/>
    </row>
    <row r="262">
      <c r="B262" s="54"/>
    </row>
    <row r="263">
      <c r="B263" s="54"/>
    </row>
    <row r="264">
      <c r="B264" s="54"/>
    </row>
    <row r="265">
      <c r="B265" s="54"/>
    </row>
    <row r="266">
      <c r="B266" s="54"/>
    </row>
    <row r="267">
      <c r="B267" s="54"/>
    </row>
    <row r="268">
      <c r="B268" s="54"/>
    </row>
    <row r="269">
      <c r="B269" s="54"/>
    </row>
    <row r="270">
      <c r="B270" s="54"/>
    </row>
    <row r="271">
      <c r="B271" s="54"/>
    </row>
    <row r="272">
      <c r="B272" s="54"/>
    </row>
    <row r="273">
      <c r="B273" s="54"/>
    </row>
    <row r="274">
      <c r="B274" s="54"/>
    </row>
    <row r="275">
      <c r="B275" s="54"/>
    </row>
    <row r="276">
      <c r="B276" s="54"/>
    </row>
    <row r="277">
      <c r="B277" s="54"/>
    </row>
    <row r="278">
      <c r="B278" s="54"/>
    </row>
    <row r="279">
      <c r="B279" s="54"/>
    </row>
    <row r="280">
      <c r="B280" s="54"/>
    </row>
    <row r="281">
      <c r="B281" s="54"/>
    </row>
    <row r="282">
      <c r="B282" s="54"/>
    </row>
    <row r="283">
      <c r="B283" s="54"/>
    </row>
    <row r="284">
      <c r="B284" s="54"/>
    </row>
    <row r="285">
      <c r="B285" s="54"/>
    </row>
    <row r="286">
      <c r="B286" s="54"/>
    </row>
    <row r="287">
      <c r="B287" s="54"/>
    </row>
    <row r="288">
      <c r="B288" s="54"/>
    </row>
    <row r="289">
      <c r="B289" s="54"/>
    </row>
    <row r="290">
      <c r="B290" s="54"/>
    </row>
    <row r="291">
      <c r="B291" s="54"/>
    </row>
    <row r="292">
      <c r="B292" s="54"/>
    </row>
    <row r="293">
      <c r="B293" s="54"/>
    </row>
    <row r="294">
      <c r="B294" s="54"/>
    </row>
    <row r="295">
      <c r="B295" s="54"/>
    </row>
    <row r="296">
      <c r="B296" s="54"/>
    </row>
    <row r="297">
      <c r="B297" s="54"/>
    </row>
    <row r="298">
      <c r="B298" s="54"/>
    </row>
    <row r="299">
      <c r="B299" s="54"/>
    </row>
    <row r="300">
      <c r="B300" s="54"/>
    </row>
    <row r="301">
      <c r="B301" s="54"/>
    </row>
    <row r="302">
      <c r="B302" s="54"/>
    </row>
    <row r="303">
      <c r="B303" s="54"/>
    </row>
    <row r="304">
      <c r="B304" s="54"/>
    </row>
    <row r="305">
      <c r="B305" s="54"/>
    </row>
    <row r="306">
      <c r="B306" s="54"/>
    </row>
    <row r="307">
      <c r="B307" s="54"/>
    </row>
    <row r="308">
      <c r="B308" s="54"/>
    </row>
    <row r="309">
      <c r="B309" s="54"/>
    </row>
    <row r="310">
      <c r="B310" s="54"/>
    </row>
    <row r="311">
      <c r="B311" s="54"/>
    </row>
    <row r="312">
      <c r="B312" s="54"/>
    </row>
    <row r="313">
      <c r="B313" s="54"/>
    </row>
    <row r="314">
      <c r="B314" s="54"/>
    </row>
    <row r="315">
      <c r="B315" s="54"/>
    </row>
    <row r="316">
      <c r="B316" s="54"/>
    </row>
    <row r="317">
      <c r="B317" s="54"/>
    </row>
    <row r="318">
      <c r="B318" s="54"/>
    </row>
    <row r="319">
      <c r="B319" s="54"/>
    </row>
    <row r="320">
      <c r="B320" s="54"/>
    </row>
    <row r="321">
      <c r="B321" s="54"/>
    </row>
    <row r="322">
      <c r="B322" s="54"/>
    </row>
    <row r="323">
      <c r="B323" s="54"/>
    </row>
    <row r="324">
      <c r="B324" s="54"/>
    </row>
    <row r="325">
      <c r="B325" s="54"/>
    </row>
    <row r="326">
      <c r="B326" s="54"/>
    </row>
    <row r="327">
      <c r="B327" s="54"/>
    </row>
    <row r="328">
      <c r="B328" s="54"/>
    </row>
    <row r="329">
      <c r="B329" s="54"/>
    </row>
    <row r="330">
      <c r="B330" s="54"/>
    </row>
    <row r="331">
      <c r="B331" s="54"/>
    </row>
    <row r="332">
      <c r="B332" s="54"/>
    </row>
    <row r="333">
      <c r="B333" s="54"/>
    </row>
    <row r="334">
      <c r="B334" s="54"/>
    </row>
    <row r="335">
      <c r="B335" s="54"/>
    </row>
    <row r="336">
      <c r="B336" s="54"/>
    </row>
    <row r="337">
      <c r="B337" s="54"/>
    </row>
    <row r="338">
      <c r="B338" s="54"/>
    </row>
    <row r="339">
      <c r="B339" s="54"/>
    </row>
    <row r="340">
      <c r="B340" s="54"/>
    </row>
    <row r="341">
      <c r="B341" s="54"/>
    </row>
    <row r="342">
      <c r="B342" s="54"/>
    </row>
    <row r="343">
      <c r="B343" s="54"/>
    </row>
    <row r="344">
      <c r="B344" s="54"/>
    </row>
    <row r="345">
      <c r="B345" s="54"/>
    </row>
    <row r="346">
      <c r="B346" s="54"/>
    </row>
    <row r="347">
      <c r="B347" s="54"/>
    </row>
    <row r="348">
      <c r="B348" s="54"/>
    </row>
    <row r="349">
      <c r="B349" s="54"/>
    </row>
    <row r="350">
      <c r="B350" s="54"/>
    </row>
    <row r="351">
      <c r="B351" s="54"/>
    </row>
    <row r="352">
      <c r="B352" s="54"/>
    </row>
    <row r="353">
      <c r="B353" s="54"/>
    </row>
    <row r="354">
      <c r="B354" s="54"/>
    </row>
    <row r="355">
      <c r="B355" s="54"/>
    </row>
    <row r="356">
      <c r="B356" s="54"/>
    </row>
    <row r="357">
      <c r="B357" s="54"/>
    </row>
    <row r="358">
      <c r="B358" s="54"/>
    </row>
    <row r="359">
      <c r="B359" s="54"/>
    </row>
    <row r="360">
      <c r="B360" s="54"/>
    </row>
    <row r="361">
      <c r="B361" s="54"/>
    </row>
    <row r="362">
      <c r="B362" s="54"/>
    </row>
    <row r="363">
      <c r="B363" s="54"/>
    </row>
    <row r="364">
      <c r="B364" s="54"/>
    </row>
    <row r="365">
      <c r="B365" s="54"/>
    </row>
    <row r="366">
      <c r="B366" s="54"/>
    </row>
    <row r="367">
      <c r="B367" s="54"/>
    </row>
    <row r="368">
      <c r="B368" s="54"/>
    </row>
    <row r="369">
      <c r="B369" s="54"/>
    </row>
    <row r="370">
      <c r="B370" s="54"/>
    </row>
    <row r="371">
      <c r="B371" s="54"/>
    </row>
    <row r="372">
      <c r="B372" s="54"/>
    </row>
    <row r="373">
      <c r="B373" s="54"/>
    </row>
    <row r="374">
      <c r="B374" s="54"/>
    </row>
    <row r="375">
      <c r="B375" s="54"/>
    </row>
    <row r="376">
      <c r="B376" s="54"/>
    </row>
    <row r="377">
      <c r="B377" s="54"/>
    </row>
    <row r="378">
      <c r="B378" s="54"/>
    </row>
    <row r="379">
      <c r="B379" s="54"/>
    </row>
    <row r="380">
      <c r="B380" s="54"/>
    </row>
    <row r="381">
      <c r="B381" s="54"/>
    </row>
    <row r="382">
      <c r="B382" s="54"/>
    </row>
    <row r="383">
      <c r="B383" s="54"/>
    </row>
    <row r="384">
      <c r="B384" s="54"/>
    </row>
    <row r="385">
      <c r="B385" s="54"/>
    </row>
    <row r="386">
      <c r="B386" s="54"/>
    </row>
    <row r="387">
      <c r="B387" s="54"/>
    </row>
    <row r="388">
      <c r="B388" s="54"/>
    </row>
    <row r="389">
      <c r="B389" s="54"/>
    </row>
    <row r="390">
      <c r="B390" s="54"/>
    </row>
    <row r="391">
      <c r="B391" s="54"/>
    </row>
    <row r="392">
      <c r="B392" s="54"/>
    </row>
    <row r="393">
      <c r="B393" s="54"/>
    </row>
    <row r="394">
      <c r="B394" s="54"/>
    </row>
    <row r="395">
      <c r="B395" s="54"/>
    </row>
    <row r="396">
      <c r="B396" s="54"/>
    </row>
    <row r="397">
      <c r="B397" s="54"/>
    </row>
    <row r="398">
      <c r="B398" s="54"/>
    </row>
    <row r="399">
      <c r="B399" s="54"/>
    </row>
    <row r="400">
      <c r="B400" s="54"/>
    </row>
    <row r="401">
      <c r="B401" s="54"/>
    </row>
    <row r="402">
      <c r="B402" s="54"/>
    </row>
    <row r="403">
      <c r="B403" s="54"/>
    </row>
    <row r="404">
      <c r="B404" s="54"/>
    </row>
    <row r="405">
      <c r="B405" s="54"/>
    </row>
    <row r="406">
      <c r="B406" s="54"/>
    </row>
    <row r="407">
      <c r="B407" s="54"/>
    </row>
    <row r="408">
      <c r="B408" s="54"/>
    </row>
    <row r="409">
      <c r="B409" s="54"/>
    </row>
    <row r="410">
      <c r="B410" s="54"/>
    </row>
    <row r="411">
      <c r="B411" s="54"/>
    </row>
    <row r="412">
      <c r="B412" s="54"/>
    </row>
    <row r="413">
      <c r="B413" s="54"/>
    </row>
    <row r="414">
      <c r="B414" s="54"/>
    </row>
    <row r="415">
      <c r="B415" s="54"/>
    </row>
    <row r="416">
      <c r="B416" s="54"/>
    </row>
    <row r="417">
      <c r="B417" s="54"/>
    </row>
    <row r="418">
      <c r="B418" s="54"/>
    </row>
    <row r="419">
      <c r="B419" s="54"/>
    </row>
    <row r="420">
      <c r="B420" s="54"/>
    </row>
    <row r="421">
      <c r="B421" s="54"/>
    </row>
    <row r="422">
      <c r="B422" s="54"/>
    </row>
    <row r="423">
      <c r="B423" s="54"/>
    </row>
    <row r="424">
      <c r="B424" s="54"/>
    </row>
    <row r="425">
      <c r="B425" s="54"/>
    </row>
    <row r="426">
      <c r="B426" s="54"/>
    </row>
    <row r="427">
      <c r="B427" s="54"/>
    </row>
    <row r="428">
      <c r="B428" s="54"/>
    </row>
    <row r="429">
      <c r="B429" s="54"/>
    </row>
    <row r="430">
      <c r="B430" s="54"/>
    </row>
    <row r="431">
      <c r="B431" s="54"/>
    </row>
    <row r="432">
      <c r="B432" s="54"/>
    </row>
    <row r="433">
      <c r="B433" s="54"/>
    </row>
    <row r="434">
      <c r="B434" s="54"/>
    </row>
    <row r="435">
      <c r="B435" s="54"/>
    </row>
    <row r="436">
      <c r="B436" s="54"/>
    </row>
    <row r="437">
      <c r="B437" s="54"/>
    </row>
    <row r="438">
      <c r="B438" s="54"/>
    </row>
    <row r="439">
      <c r="B439" s="54"/>
    </row>
    <row r="440">
      <c r="B440" s="54"/>
    </row>
    <row r="441">
      <c r="B441" s="54"/>
    </row>
    <row r="442">
      <c r="B442" s="54"/>
    </row>
    <row r="443">
      <c r="B443" s="54"/>
    </row>
    <row r="444">
      <c r="B444" s="54"/>
    </row>
    <row r="445">
      <c r="B445" s="54"/>
    </row>
    <row r="446">
      <c r="B446" s="54"/>
    </row>
    <row r="447">
      <c r="B447" s="54"/>
    </row>
    <row r="448">
      <c r="B448" s="54"/>
    </row>
    <row r="449">
      <c r="B449" s="54"/>
    </row>
    <row r="450">
      <c r="B450" s="54"/>
    </row>
    <row r="451">
      <c r="B451" s="54"/>
    </row>
    <row r="452">
      <c r="B452" s="54"/>
    </row>
    <row r="453">
      <c r="B453" s="54"/>
    </row>
    <row r="454">
      <c r="B454" s="54"/>
    </row>
    <row r="455">
      <c r="B455" s="54"/>
    </row>
    <row r="456">
      <c r="B456" s="54"/>
    </row>
    <row r="457">
      <c r="B457" s="54"/>
    </row>
    <row r="458">
      <c r="B458" s="54"/>
    </row>
    <row r="459">
      <c r="B459" s="54"/>
    </row>
    <row r="460">
      <c r="B460" s="54"/>
    </row>
    <row r="461">
      <c r="B461" s="54"/>
    </row>
    <row r="462">
      <c r="B462" s="54"/>
    </row>
    <row r="463">
      <c r="B463" s="54"/>
    </row>
    <row r="464">
      <c r="B464" s="54"/>
    </row>
    <row r="465">
      <c r="B465" s="54"/>
    </row>
    <row r="466">
      <c r="B466" s="54"/>
    </row>
    <row r="467">
      <c r="B467" s="54"/>
    </row>
    <row r="468">
      <c r="B468" s="54"/>
    </row>
    <row r="469">
      <c r="B469" s="54"/>
    </row>
    <row r="470">
      <c r="B470" s="54"/>
    </row>
    <row r="471">
      <c r="B471" s="54"/>
    </row>
    <row r="472">
      <c r="B472" s="54"/>
    </row>
    <row r="473">
      <c r="B473" s="54"/>
    </row>
    <row r="474">
      <c r="B474" s="54"/>
    </row>
    <row r="475">
      <c r="B475" s="54"/>
    </row>
    <row r="476">
      <c r="B476" s="54"/>
    </row>
    <row r="477">
      <c r="B477" s="54"/>
    </row>
    <row r="478">
      <c r="B478" s="54"/>
    </row>
    <row r="479">
      <c r="B479" s="54"/>
    </row>
    <row r="480">
      <c r="B480" s="54"/>
    </row>
    <row r="481">
      <c r="B481" s="54"/>
    </row>
    <row r="482">
      <c r="B482" s="54"/>
    </row>
    <row r="483">
      <c r="B483" s="54"/>
    </row>
    <row r="484">
      <c r="B484" s="54"/>
    </row>
    <row r="485">
      <c r="B485" s="54"/>
    </row>
    <row r="486">
      <c r="B486" s="54"/>
    </row>
    <row r="487">
      <c r="B487" s="54"/>
    </row>
    <row r="488">
      <c r="B488" s="54"/>
    </row>
    <row r="489">
      <c r="B489" s="54"/>
    </row>
    <row r="490">
      <c r="B490" s="54"/>
    </row>
    <row r="491">
      <c r="B491" s="54"/>
    </row>
    <row r="492">
      <c r="B492" s="54"/>
    </row>
    <row r="493">
      <c r="B493" s="54"/>
    </row>
    <row r="494">
      <c r="B494" s="54"/>
    </row>
    <row r="495">
      <c r="B495" s="54"/>
    </row>
    <row r="496">
      <c r="B496" s="54"/>
    </row>
    <row r="497">
      <c r="B497" s="54"/>
    </row>
    <row r="498">
      <c r="B498" s="54"/>
    </row>
    <row r="499">
      <c r="B499" s="54"/>
    </row>
    <row r="500">
      <c r="B500" s="54"/>
    </row>
    <row r="501">
      <c r="B501" s="54"/>
    </row>
    <row r="502">
      <c r="B502" s="54"/>
    </row>
    <row r="503">
      <c r="B503" s="54"/>
    </row>
    <row r="504">
      <c r="B504" s="54"/>
    </row>
    <row r="505">
      <c r="B505" s="54"/>
    </row>
    <row r="506">
      <c r="B506" s="54"/>
    </row>
    <row r="507">
      <c r="B507" s="54"/>
    </row>
    <row r="508">
      <c r="B508" s="54"/>
    </row>
    <row r="509">
      <c r="B509" s="54"/>
    </row>
    <row r="510">
      <c r="B510" s="54"/>
    </row>
    <row r="511">
      <c r="B511" s="54"/>
    </row>
    <row r="512">
      <c r="B512" s="54"/>
    </row>
    <row r="513">
      <c r="B513" s="54"/>
    </row>
    <row r="514">
      <c r="B514" s="54"/>
    </row>
    <row r="515">
      <c r="B515" s="54"/>
    </row>
    <row r="516">
      <c r="B516" s="54"/>
    </row>
    <row r="517">
      <c r="B517" s="54"/>
    </row>
    <row r="518">
      <c r="B518" s="54"/>
    </row>
    <row r="519">
      <c r="B519" s="54"/>
    </row>
    <row r="520">
      <c r="B520" s="54"/>
    </row>
    <row r="521">
      <c r="B521" s="54"/>
    </row>
    <row r="522">
      <c r="B522" s="54"/>
    </row>
    <row r="523">
      <c r="B523" s="54"/>
    </row>
    <row r="524">
      <c r="B524" s="54"/>
    </row>
    <row r="525">
      <c r="B525" s="54"/>
    </row>
    <row r="526">
      <c r="B526" s="54"/>
    </row>
    <row r="527">
      <c r="B527" s="54"/>
    </row>
    <row r="528">
      <c r="B528" s="54"/>
    </row>
    <row r="529">
      <c r="B529" s="54"/>
    </row>
    <row r="530">
      <c r="B530" s="54"/>
    </row>
    <row r="531">
      <c r="B531" s="54"/>
    </row>
    <row r="532">
      <c r="B532" s="54"/>
    </row>
    <row r="533">
      <c r="B533" s="54"/>
    </row>
    <row r="534">
      <c r="B534" s="54"/>
    </row>
    <row r="535">
      <c r="B535" s="54"/>
    </row>
    <row r="536">
      <c r="B536" s="54"/>
    </row>
    <row r="537">
      <c r="B537" s="54"/>
    </row>
    <row r="538">
      <c r="B538" s="54"/>
    </row>
    <row r="539">
      <c r="B539" s="54"/>
    </row>
    <row r="540">
      <c r="B540" s="54"/>
    </row>
    <row r="541">
      <c r="B541" s="54"/>
    </row>
    <row r="542">
      <c r="B542" s="54"/>
    </row>
    <row r="543">
      <c r="B543" s="54"/>
    </row>
    <row r="544">
      <c r="B544" s="54"/>
    </row>
    <row r="545">
      <c r="B545" s="54"/>
    </row>
    <row r="546">
      <c r="B546" s="54"/>
    </row>
    <row r="547">
      <c r="B547" s="54"/>
    </row>
    <row r="548">
      <c r="B548" s="54"/>
    </row>
    <row r="549">
      <c r="B549" s="54"/>
    </row>
    <row r="550">
      <c r="B550" s="54"/>
    </row>
    <row r="551">
      <c r="B551" s="54"/>
    </row>
    <row r="552">
      <c r="B552" s="54"/>
    </row>
    <row r="553">
      <c r="B553" s="54"/>
    </row>
    <row r="554">
      <c r="B554" s="54"/>
    </row>
    <row r="555">
      <c r="B555" s="54"/>
    </row>
    <row r="556">
      <c r="B556" s="54"/>
    </row>
    <row r="557">
      <c r="B557" s="54"/>
    </row>
    <row r="558">
      <c r="B558" s="54"/>
    </row>
    <row r="559">
      <c r="B559" s="54"/>
    </row>
    <row r="560">
      <c r="B560" s="54"/>
    </row>
    <row r="561">
      <c r="B561" s="54"/>
    </row>
    <row r="562">
      <c r="B562" s="54"/>
    </row>
    <row r="563">
      <c r="B563" s="54"/>
    </row>
    <row r="564">
      <c r="B564" s="54"/>
    </row>
    <row r="565">
      <c r="B565" s="54"/>
    </row>
    <row r="566">
      <c r="B566" s="54"/>
    </row>
    <row r="567">
      <c r="B567" s="54"/>
    </row>
    <row r="568">
      <c r="B568" s="54"/>
    </row>
    <row r="569">
      <c r="B569" s="54"/>
    </row>
    <row r="570">
      <c r="B570" s="54"/>
    </row>
    <row r="571">
      <c r="B571" s="54"/>
    </row>
    <row r="572">
      <c r="B572" s="54"/>
    </row>
    <row r="573">
      <c r="B573" s="54"/>
    </row>
    <row r="574">
      <c r="B574" s="54"/>
    </row>
    <row r="575">
      <c r="B575" s="54"/>
    </row>
    <row r="576">
      <c r="B576" s="54"/>
    </row>
    <row r="577">
      <c r="B577" s="54"/>
    </row>
    <row r="578">
      <c r="B578" s="54"/>
    </row>
    <row r="579">
      <c r="B579" s="54"/>
    </row>
    <row r="580">
      <c r="B580" s="54"/>
    </row>
    <row r="581">
      <c r="B581" s="54"/>
    </row>
    <row r="582">
      <c r="B582" s="54"/>
    </row>
    <row r="583">
      <c r="B583" s="54"/>
    </row>
    <row r="584">
      <c r="B584" s="54"/>
    </row>
    <row r="585">
      <c r="B585" s="54"/>
    </row>
    <row r="586">
      <c r="B586" s="54"/>
    </row>
    <row r="587">
      <c r="B587" s="54"/>
    </row>
    <row r="588">
      <c r="B588" s="54"/>
    </row>
    <row r="589">
      <c r="B589" s="54"/>
    </row>
    <row r="590">
      <c r="B590" s="54"/>
    </row>
    <row r="591">
      <c r="B591" s="54"/>
    </row>
    <row r="592">
      <c r="B592" s="54"/>
    </row>
    <row r="593">
      <c r="B593" s="54"/>
    </row>
    <row r="594">
      <c r="B594" s="54"/>
    </row>
    <row r="595">
      <c r="B595" s="54"/>
    </row>
    <row r="596">
      <c r="B596" s="54"/>
    </row>
    <row r="597">
      <c r="B597" s="54"/>
    </row>
    <row r="598">
      <c r="B598" s="54"/>
    </row>
    <row r="599">
      <c r="B599" s="54"/>
    </row>
    <row r="600">
      <c r="B600" s="54"/>
    </row>
    <row r="601">
      <c r="B601" s="54"/>
    </row>
    <row r="602">
      <c r="B602" s="54"/>
    </row>
    <row r="603">
      <c r="B603" s="54"/>
    </row>
    <row r="604">
      <c r="B604" s="54"/>
    </row>
    <row r="605">
      <c r="B605" s="54"/>
    </row>
    <row r="606">
      <c r="B606" s="54"/>
    </row>
    <row r="607">
      <c r="B607" s="54"/>
    </row>
    <row r="608">
      <c r="B608" s="54"/>
    </row>
    <row r="609">
      <c r="B609" s="54"/>
    </row>
    <row r="610">
      <c r="B610" s="54"/>
    </row>
    <row r="611">
      <c r="B611" s="54"/>
    </row>
    <row r="612">
      <c r="B612" s="54"/>
    </row>
    <row r="613">
      <c r="B613" s="54"/>
    </row>
    <row r="614">
      <c r="B614" s="54"/>
    </row>
    <row r="615">
      <c r="B615" s="54"/>
    </row>
    <row r="616">
      <c r="B616" s="54"/>
    </row>
    <row r="617">
      <c r="B617" s="54"/>
    </row>
    <row r="618">
      <c r="B618" s="54"/>
    </row>
    <row r="619">
      <c r="B619" s="54"/>
    </row>
    <row r="620">
      <c r="B620" s="54"/>
    </row>
    <row r="621">
      <c r="B621" s="54"/>
    </row>
    <row r="622">
      <c r="B622" s="54"/>
    </row>
    <row r="623">
      <c r="B623" s="54"/>
    </row>
    <row r="624">
      <c r="B624" s="54"/>
    </row>
    <row r="625">
      <c r="B625" s="54"/>
    </row>
    <row r="626">
      <c r="B626" s="54"/>
    </row>
    <row r="627">
      <c r="B627" s="54"/>
    </row>
    <row r="628">
      <c r="B628" s="54"/>
    </row>
    <row r="629">
      <c r="B629" s="54"/>
    </row>
    <row r="630">
      <c r="B630" s="54"/>
    </row>
    <row r="631">
      <c r="B631" s="54"/>
    </row>
    <row r="632">
      <c r="B632" s="54"/>
    </row>
    <row r="633">
      <c r="B633" s="54"/>
    </row>
    <row r="634">
      <c r="B634" s="54"/>
    </row>
    <row r="635">
      <c r="B635" s="54"/>
    </row>
    <row r="636">
      <c r="B636" s="54"/>
    </row>
    <row r="637">
      <c r="B637" s="54"/>
    </row>
    <row r="638">
      <c r="B638" s="54"/>
    </row>
    <row r="639">
      <c r="B639" s="54"/>
    </row>
    <row r="640">
      <c r="B640" s="54"/>
    </row>
    <row r="641">
      <c r="B641" s="54"/>
    </row>
    <row r="642">
      <c r="B642" s="54"/>
    </row>
    <row r="643">
      <c r="B643" s="54"/>
    </row>
    <row r="644">
      <c r="B644" s="54"/>
    </row>
    <row r="645">
      <c r="B645" s="54"/>
    </row>
    <row r="646">
      <c r="B646" s="54"/>
    </row>
    <row r="647">
      <c r="B647" s="54"/>
    </row>
    <row r="648">
      <c r="B648" s="54"/>
    </row>
    <row r="649">
      <c r="B649" s="54"/>
    </row>
    <row r="650">
      <c r="B650" s="54"/>
    </row>
    <row r="651">
      <c r="B651" s="54"/>
    </row>
    <row r="652">
      <c r="B652" s="54"/>
    </row>
    <row r="653">
      <c r="B653" s="54"/>
    </row>
    <row r="654">
      <c r="B654" s="54"/>
    </row>
    <row r="655">
      <c r="B655" s="54"/>
    </row>
    <row r="656">
      <c r="B656" s="54"/>
    </row>
    <row r="657">
      <c r="B657" s="54"/>
    </row>
    <row r="658">
      <c r="B658" s="54"/>
    </row>
    <row r="659">
      <c r="B659" s="54"/>
    </row>
    <row r="660">
      <c r="B660" s="54"/>
    </row>
    <row r="661">
      <c r="B661" s="54"/>
    </row>
    <row r="662">
      <c r="B662" s="54"/>
    </row>
    <row r="663">
      <c r="B663" s="54"/>
    </row>
    <row r="664">
      <c r="B664" s="54"/>
    </row>
    <row r="665">
      <c r="B665" s="54"/>
    </row>
    <row r="666">
      <c r="B666" s="54"/>
    </row>
    <row r="667">
      <c r="B667" s="54"/>
    </row>
    <row r="668">
      <c r="B668" s="54"/>
    </row>
    <row r="669">
      <c r="B669" s="54"/>
    </row>
    <row r="670">
      <c r="B670" s="54"/>
    </row>
    <row r="671">
      <c r="B671" s="54"/>
    </row>
    <row r="672">
      <c r="B672" s="54"/>
    </row>
    <row r="673">
      <c r="B673" s="54"/>
    </row>
    <row r="674">
      <c r="B674" s="54"/>
    </row>
    <row r="675">
      <c r="B675" s="54"/>
    </row>
    <row r="676">
      <c r="B676" s="54"/>
    </row>
    <row r="677">
      <c r="B677" s="54"/>
    </row>
    <row r="678">
      <c r="B678" s="54"/>
    </row>
    <row r="679">
      <c r="B679" s="54"/>
    </row>
    <row r="680">
      <c r="B680" s="54"/>
    </row>
    <row r="681">
      <c r="B681" s="54"/>
    </row>
    <row r="682">
      <c r="B682" s="54"/>
    </row>
    <row r="683">
      <c r="B683" s="54"/>
    </row>
    <row r="684">
      <c r="B684" s="54"/>
    </row>
    <row r="685">
      <c r="B685" s="54"/>
    </row>
    <row r="686">
      <c r="B686" s="54"/>
    </row>
    <row r="687">
      <c r="B687" s="54"/>
    </row>
    <row r="688">
      <c r="B688" s="54"/>
    </row>
    <row r="689">
      <c r="B689" s="54"/>
    </row>
    <row r="690">
      <c r="B690" s="54"/>
    </row>
    <row r="691">
      <c r="B691" s="54"/>
    </row>
    <row r="692">
      <c r="B692" s="54"/>
    </row>
    <row r="693">
      <c r="B693" s="54"/>
    </row>
    <row r="694">
      <c r="B694" s="54"/>
    </row>
    <row r="695">
      <c r="B695" s="54"/>
    </row>
    <row r="696">
      <c r="B696" s="54"/>
    </row>
    <row r="697">
      <c r="B697" s="54"/>
    </row>
    <row r="698">
      <c r="B698" s="54"/>
    </row>
    <row r="699">
      <c r="B699" s="54"/>
    </row>
    <row r="700">
      <c r="B700" s="54"/>
    </row>
    <row r="701">
      <c r="B701" s="54"/>
    </row>
    <row r="702">
      <c r="B702" s="54"/>
    </row>
    <row r="703">
      <c r="B703" s="54"/>
    </row>
    <row r="704">
      <c r="B704" s="54"/>
    </row>
    <row r="705">
      <c r="B705" s="54"/>
    </row>
    <row r="706">
      <c r="B706" s="54"/>
    </row>
    <row r="707">
      <c r="B707" s="54"/>
    </row>
    <row r="708">
      <c r="B708" s="54"/>
    </row>
    <row r="709">
      <c r="B709" s="54"/>
    </row>
    <row r="710">
      <c r="B710" s="54"/>
    </row>
    <row r="711">
      <c r="B711" s="54"/>
    </row>
    <row r="712">
      <c r="B712" s="54"/>
    </row>
    <row r="713">
      <c r="B713" s="54"/>
    </row>
    <row r="714">
      <c r="B714" s="54"/>
    </row>
    <row r="715">
      <c r="B715" s="54"/>
    </row>
    <row r="716">
      <c r="B716" s="54"/>
    </row>
    <row r="717">
      <c r="B717" s="54"/>
    </row>
    <row r="718">
      <c r="B718" s="54"/>
    </row>
    <row r="719">
      <c r="B719" s="54"/>
    </row>
    <row r="720">
      <c r="B720" s="54"/>
    </row>
    <row r="721">
      <c r="B721" s="54"/>
    </row>
    <row r="722">
      <c r="B722" s="54"/>
    </row>
    <row r="723">
      <c r="B723" s="54"/>
    </row>
    <row r="724">
      <c r="B724" s="54"/>
    </row>
    <row r="725">
      <c r="B725" s="54"/>
    </row>
    <row r="726">
      <c r="B726" s="54"/>
    </row>
    <row r="727">
      <c r="B727" s="54"/>
    </row>
    <row r="728">
      <c r="B728" s="54"/>
    </row>
    <row r="729">
      <c r="B729" s="54"/>
    </row>
    <row r="730">
      <c r="B730" s="54"/>
    </row>
    <row r="731">
      <c r="B731" s="54"/>
    </row>
    <row r="732">
      <c r="B732" s="54"/>
    </row>
    <row r="733">
      <c r="B733" s="54"/>
    </row>
    <row r="734">
      <c r="B734" s="54"/>
    </row>
    <row r="735">
      <c r="B735" s="54"/>
    </row>
    <row r="736">
      <c r="B736" s="54"/>
    </row>
    <row r="737">
      <c r="B737" s="54"/>
    </row>
    <row r="738">
      <c r="B738" s="54"/>
    </row>
    <row r="739">
      <c r="B739" s="54"/>
    </row>
    <row r="740">
      <c r="B740" s="54"/>
    </row>
    <row r="741">
      <c r="B741" s="54"/>
    </row>
    <row r="742">
      <c r="B742" s="54"/>
    </row>
    <row r="743">
      <c r="B743" s="54"/>
    </row>
    <row r="744">
      <c r="B744" s="54"/>
    </row>
    <row r="745">
      <c r="B745" s="54"/>
    </row>
    <row r="746">
      <c r="B746" s="54"/>
    </row>
    <row r="747">
      <c r="B747" s="54"/>
    </row>
    <row r="748">
      <c r="B748" s="54"/>
    </row>
    <row r="749">
      <c r="B749" s="54"/>
    </row>
    <row r="750">
      <c r="B750" s="54"/>
    </row>
    <row r="751">
      <c r="B751" s="54"/>
    </row>
    <row r="752">
      <c r="B752" s="54"/>
    </row>
    <row r="753">
      <c r="B753" s="54"/>
    </row>
    <row r="754">
      <c r="B754" s="54"/>
    </row>
    <row r="755">
      <c r="B755" s="54"/>
    </row>
    <row r="756">
      <c r="B756" s="54"/>
    </row>
    <row r="757">
      <c r="B757" s="54"/>
    </row>
    <row r="758">
      <c r="B758" s="54"/>
    </row>
    <row r="759">
      <c r="B759" s="54"/>
    </row>
    <row r="760">
      <c r="B760" s="54"/>
    </row>
    <row r="761">
      <c r="B761" s="54"/>
    </row>
    <row r="762">
      <c r="B762" s="54"/>
    </row>
    <row r="763">
      <c r="B763" s="54"/>
    </row>
    <row r="764">
      <c r="B764" s="54"/>
    </row>
    <row r="765">
      <c r="B765" s="54"/>
    </row>
    <row r="766">
      <c r="B766" s="54"/>
    </row>
    <row r="767">
      <c r="B767" s="54"/>
    </row>
    <row r="768">
      <c r="B768" s="54"/>
    </row>
    <row r="769">
      <c r="B769" s="54"/>
    </row>
    <row r="770">
      <c r="B770" s="54"/>
    </row>
    <row r="771">
      <c r="B771" s="54"/>
    </row>
    <row r="772">
      <c r="B772" s="54"/>
    </row>
    <row r="773">
      <c r="B773" s="54"/>
    </row>
    <row r="774">
      <c r="B774" s="54"/>
    </row>
    <row r="775">
      <c r="B775" s="54"/>
    </row>
    <row r="776">
      <c r="B776" s="54"/>
    </row>
    <row r="777">
      <c r="B777" s="54"/>
    </row>
    <row r="778">
      <c r="B778" s="54"/>
    </row>
    <row r="779">
      <c r="B779" s="54"/>
    </row>
    <row r="780">
      <c r="B780" s="54"/>
    </row>
    <row r="781">
      <c r="B781" s="54"/>
    </row>
    <row r="782">
      <c r="B782" s="54"/>
    </row>
    <row r="783">
      <c r="B783" s="54"/>
    </row>
    <row r="784">
      <c r="B784" s="54"/>
    </row>
    <row r="785">
      <c r="B785" s="54"/>
    </row>
    <row r="786">
      <c r="B786" s="54"/>
    </row>
    <row r="787">
      <c r="B787" s="54"/>
    </row>
    <row r="788">
      <c r="B788" s="54"/>
    </row>
    <row r="789">
      <c r="B789" s="54"/>
    </row>
    <row r="790">
      <c r="B790" s="54"/>
    </row>
    <row r="791">
      <c r="B791" s="54"/>
    </row>
    <row r="792">
      <c r="B792" s="54"/>
    </row>
    <row r="793">
      <c r="B793" s="54"/>
    </row>
    <row r="794">
      <c r="B794" s="54"/>
    </row>
    <row r="795">
      <c r="B795" s="54"/>
    </row>
    <row r="796">
      <c r="B796" s="54"/>
    </row>
    <row r="797">
      <c r="B797" s="54"/>
    </row>
    <row r="798">
      <c r="B798" s="54"/>
    </row>
    <row r="799">
      <c r="B799" s="54"/>
    </row>
    <row r="800">
      <c r="B800" s="54"/>
    </row>
    <row r="801">
      <c r="B801" s="54"/>
    </row>
    <row r="802">
      <c r="B802" s="54"/>
    </row>
    <row r="803">
      <c r="B803" s="54"/>
    </row>
    <row r="804">
      <c r="B804" s="54"/>
    </row>
    <row r="805">
      <c r="B805" s="54"/>
    </row>
    <row r="806">
      <c r="B806" s="54"/>
    </row>
    <row r="807">
      <c r="B807" s="54"/>
    </row>
    <row r="808">
      <c r="B808" s="54"/>
    </row>
    <row r="809">
      <c r="B809" s="54"/>
    </row>
    <row r="810">
      <c r="B810" s="54"/>
    </row>
    <row r="811">
      <c r="B811" s="54"/>
    </row>
    <row r="812">
      <c r="B812" s="54"/>
    </row>
    <row r="813">
      <c r="B813" s="54"/>
    </row>
    <row r="814">
      <c r="B814" s="54"/>
    </row>
    <row r="815">
      <c r="B815" s="54"/>
    </row>
    <row r="816">
      <c r="B816" s="54"/>
    </row>
    <row r="817">
      <c r="B817" s="54"/>
    </row>
    <row r="818">
      <c r="B818" s="54"/>
    </row>
    <row r="819">
      <c r="B819" s="54"/>
    </row>
    <row r="820">
      <c r="B820" s="54"/>
    </row>
    <row r="821">
      <c r="B821" s="54"/>
    </row>
    <row r="822">
      <c r="B822" s="54"/>
    </row>
    <row r="823">
      <c r="B823" s="54"/>
    </row>
    <row r="824">
      <c r="B824" s="54"/>
    </row>
    <row r="825">
      <c r="B825" s="54"/>
    </row>
    <row r="826">
      <c r="B826" s="54"/>
    </row>
    <row r="827">
      <c r="B827" s="54"/>
    </row>
    <row r="828">
      <c r="B828" s="54"/>
    </row>
    <row r="829">
      <c r="B829" s="54"/>
    </row>
    <row r="830">
      <c r="B830" s="54"/>
    </row>
    <row r="831">
      <c r="B831" s="54"/>
    </row>
    <row r="832">
      <c r="B832" s="54"/>
    </row>
    <row r="833">
      <c r="B833" s="54"/>
    </row>
    <row r="834">
      <c r="B834" s="54"/>
    </row>
    <row r="835">
      <c r="B835" s="54"/>
    </row>
    <row r="836">
      <c r="B836" s="54"/>
    </row>
    <row r="837">
      <c r="B837" s="54"/>
    </row>
    <row r="838">
      <c r="B838" s="54"/>
    </row>
    <row r="839">
      <c r="B839" s="54"/>
    </row>
    <row r="840">
      <c r="B840" s="54"/>
    </row>
    <row r="841">
      <c r="B841" s="54"/>
    </row>
    <row r="842">
      <c r="B842" s="54"/>
    </row>
    <row r="843">
      <c r="B843" s="54"/>
    </row>
    <row r="844">
      <c r="B844" s="54"/>
    </row>
    <row r="845">
      <c r="B845" s="54"/>
    </row>
    <row r="846">
      <c r="B846" s="54"/>
    </row>
    <row r="847">
      <c r="B847" s="54"/>
    </row>
    <row r="848">
      <c r="B848" s="54"/>
    </row>
    <row r="849">
      <c r="B849" s="54"/>
    </row>
    <row r="850">
      <c r="B850" s="54"/>
    </row>
    <row r="851">
      <c r="B851" s="54"/>
    </row>
    <row r="852">
      <c r="B852" s="54"/>
    </row>
    <row r="853">
      <c r="B853" s="54"/>
    </row>
    <row r="854">
      <c r="B854" s="54"/>
    </row>
    <row r="855">
      <c r="B855" s="54"/>
    </row>
    <row r="856">
      <c r="B856" s="54"/>
    </row>
    <row r="857">
      <c r="B857" s="54"/>
    </row>
    <row r="858">
      <c r="B858" s="54"/>
    </row>
    <row r="859">
      <c r="B859" s="54"/>
    </row>
    <row r="860">
      <c r="B860" s="54"/>
    </row>
    <row r="861">
      <c r="B861" s="54"/>
    </row>
    <row r="862">
      <c r="B862" s="54"/>
    </row>
    <row r="863">
      <c r="B863" s="54"/>
    </row>
    <row r="864">
      <c r="B864" s="54"/>
    </row>
    <row r="865">
      <c r="B865" s="54"/>
    </row>
    <row r="866">
      <c r="B866" s="54"/>
    </row>
    <row r="867">
      <c r="B867" s="54"/>
    </row>
    <row r="868">
      <c r="B868" s="54"/>
    </row>
    <row r="869">
      <c r="B869" s="54"/>
    </row>
    <row r="870">
      <c r="B870" s="54"/>
    </row>
    <row r="871">
      <c r="B871" s="54"/>
    </row>
    <row r="872">
      <c r="B872" s="54"/>
    </row>
    <row r="873">
      <c r="B873" s="54"/>
    </row>
    <row r="874">
      <c r="B874" s="54"/>
    </row>
    <row r="875">
      <c r="B875" s="54"/>
    </row>
    <row r="876">
      <c r="B876" s="54"/>
    </row>
    <row r="877">
      <c r="B877" s="54"/>
    </row>
    <row r="878">
      <c r="B878" s="54"/>
    </row>
    <row r="879">
      <c r="B879" s="54"/>
    </row>
    <row r="880">
      <c r="B880" s="54"/>
    </row>
    <row r="881">
      <c r="B881" s="54"/>
    </row>
    <row r="882">
      <c r="B882" s="54"/>
    </row>
    <row r="883">
      <c r="B883" s="54"/>
    </row>
    <row r="884">
      <c r="B884" s="54"/>
    </row>
    <row r="885">
      <c r="B885" s="54"/>
    </row>
    <row r="886">
      <c r="B886" s="54"/>
    </row>
    <row r="887">
      <c r="B887" s="54"/>
    </row>
    <row r="888">
      <c r="B888" s="54"/>
    </row>
    <row r="889">
      <c r="B889" s="54"/>
    </row>
    <row r="890">
      <c r="B890" s="54"/>
    </row>
    <row r="891">
      <c r="B891" s="54"/>
    </row>
    <row r="892">
      <c r="B892" s="54"/>
    </row>
    <row r="893">
      <c r="B893" s="54"/>
    </row>
    <row r="894">
      <c r="B894" s="54"/>
    </row>
    <row r="895">
      <c r="B895" s="54"/>
    </row>
    <row r="896">
      <c r="B896" s="54"/>
    </row>
    <row r="897">
      <c r="B897" s="54"/>
    </row>
    <row r="898">
      <c r="B898" s="54"/>
    </row>
    <row r="899">
      <c r="B899" s="54"/>
    </row>
    <row r="900">
      <c r="B900" s="54"/>
    </row>
    <row r="901">
      <c r="B901" s="54"/>
    </row>
    <row r="902">
      <c r="B902" s="54"/>
    </row>
    <row r="903">
      <c r="B903" s="54"/>
    </row>
    <row r="904">
      <c r="B904" s="54"/>
    </row>
    <row r="905">
      <c r="B905" s="54"/>
    </row>
    <row r="906">
      <c r="B906" s="54"/>
    </row>
    <row r="907">
      <c r="B907" s="54"/>
    </row>
    <row r="908">
      <c r="B908" s="54"/>
    </row>
    <row r="909">
      <c r="B909" s="54"/>
    </row>
    <row r="910">
      <c r="B910" s="54"/>
    </row>
    <row r="911">
      <c r="B911" s="54"/>
    </row>
    <row r="912">
      <c r="B912" s="54"/>
    </row>
    <row r="913">
      <c r="B913" s="54"/>
    </row>
    <row r="914">
      <c r="B914" s="54"/>
    </row>
    <row r="915">
      <c r="B915" s="54"/>
    </row>
    <row r="916">
      <c r="B916" s="54"/>
    </row>
    <row r="917">
      <c r="B917" s="54"/>
    </row>
    <row r="918">
      <c r="B918" s="54"/>
    </row>
    <row r="919">
      <c r="B919" s="54"/>
    </row>
    <row r="920">
      <c r="B920" s="54"/>
    </row>
    <row r="921">
      <c r="B921" s="54"/>
    </row>
    <row r="922">
      <c r="B922" s="54"/>
    </row>
    <row r="923">
      <c r="B923" s="54"/>
    </row>
    <row r="924">
      <c r="B924" s="54"/>
    </row>
    <row r="925">
      <c r="B925" s="54"/>
    </row>
    <row r="926">
      <c r="B926" s="54"/>
    </row>
    <row r="927">
      <c r="B927" s="54"/>
    </row>
    <row r="928">
      <c r="B928" s="54"/>
    </row>
    <row r="929">
      <c r="B929" s="54"/>
    </row>
    <row r="930">
      <c r="B930" s="54"/>
    </row>
    <row r="931">
      <c r="B931" s="54"/>
    </row>
    <row r="932">
      <c r="B932" s="54"/>
    </row>
    <row r="933">
      <c r="B933" s="54"/>
    </row>
    <row r="934">
      <c r="B934" s="54"/>
    </row>
    <row r="935">
      <c r="B935" s="54"/>
    </row>
    <row r="936">
      <c r="B936" s="54"/>
    </row>
    <row r="937">
      <c r="B937" s="54"/>
    </row>
    <row r="938">
      <c r="B938" s="54"/>
    </row>
    <row r="939">
      <c r="B939" s="54"/>
    </row>
    <row r="940">
      <c r="B940" s="54"/>
    </row>
    <row r="941">
      <c r="B941" s="54"/>
    </row>
    <row r="942">
      <c r="B942" s="54"/>
    </row>
    <row r="943">
      <c r="B943" s="54"/>
    </row>
    <row r="944">
      <c r="B944" s="54"/>
    </row>
    <row r="945">
      <c r="B945" s="54"/>
    </row>
    <row r="946">
      <c r="B946" s="54"/>
    </row>
    <row r="947">
      <c r="B947" s="54"/>
    </row>
    <row r="948">
      <c r="B948" s="54"/>
    </row>
    <row r="949">
      <c r="B949" s="54"/>
    </row>
    <row r="950">
      <c r="B950" s="54"/>
    </row>
    <row r="951">
      <c r="B951" s="54"/>
    </row>
    <row r="952">
      <c r="B952" s="54"/>
    </row>
    <row r="953">
      <c r="B953" s="54"/>
    </row>
    <row r="954">
      <c r="B954" s="54"/>
    </row>
    <row r="955">
      <c r="B955" s="54"/>
    </row>
    <row r="956">
      <c r="B956" s="54"/>
    </row>
    <row r="957">
      <c r="B957" s="54"/>
    </row>
    <row r="958">
      <c r="B958" s="54"/>
    </row>
    <row r="959">
      <c r="B959" s="54"/>
    </row>
    <row r="960">
      <c r="B960" s="54"/>
    </row>
    <row r="961">
      <c r="B961" s="54"/>
    </row>
    <row r="962">
      <c r="B962" s="54"/>
    </row>
    <row r="963">
      <c r="B963" s="54"/>
    </row>
    <row r="964">
      <c r="B964" s="54"/>
    </row>
    <row r="965">
      <c r="B965" s="54"/>
    </row>
    <row r="966">
      <c r="B966" s="54"/>
    </row>
    <row r="967">
      <c r="B967" s="54"/>
    </row>
    <row r="968">
      <c r="B968" s="54"/>
    </row>
    <row r="969">
      <c r="B969" s="54"/>
    </row>
    <row r="970">
      <c r="B970" s="54"/>
    </row>
    <row r="971">
      <c r="B971" s="54"/>
    </row>
    <row r="972">
      <c r="B972" s="54"/>
    </row>
    <row r="973">
      <c r="B973" s="54"/>
    </row>
    <row r="974">
      <c r="B974" s="54"/>
    </row>
    <row r="975">
      <c r="B975" s="54"/>
    </row>
    <row r="976">
      <c r="B976" s="54"/>
    </row>
    <row r="977">
      <c r="B977" s="54"/>
    </row>
    <row r="978">
      <c r="B978" s="54"/>
    </row>
    <row r="979">
      <c r="B979" s="54"/>
    </row>
    <row r="980">
      <c r="B980" s="54"/>
    </row>
    <row r="981">
      <c r="B981" s="54"/>
    </row>
    <row r="982">
      <c r="B982" s="54"/>
    </row>
    <row r="983">
      <c r="B983" s="54"/>
    </row>
    <row r="984">
      <c r="B984" s="54"/>
    </row>
    <row r="985">
      <c r="B985" s="54"/>
    </row>
    <row r="986">
      <c r="B986" s="54"/>
    </row>
    <row r="987">
      <c r="B987" s="54"/>
    </row>
    <row r="988">
      <c r="B988" s="54"/>
    </row>
    <row r="989">
      <c r="B989" s="54"/>
    </row>
    <row r="990">
      <c r="B990" s="54"/>
    </row>
    <row r="991">
      <c r="B991" s="54"/>
    </row>
    <row r="992">
      <c r="B992" s="54"/>
    </row>
    <row r="993">
      <c r="B993" s="54"/>
    </row>
    <row r="994">
      <c r="B994" s="54"/>
    </row>
    <row r="995">
      <c r="B995" s="54"/>
    </row>
    <row r="996">
      <c r="B996" s="54"/>
    </row>
    <row r="997">
      <c r="B997" s="54"/>
    </row>
    <row r="998">
      <c r="B998" s="54"/>
    </row>
    <row r="999">
      <c r="B999" s="54"/>
    </row>
    <row r="1000">
      <c r="B1000" s="54"/>
    </row>
  </sheetData>
  <mergeCells count="7">
    <mergeCell ref="A1:G1"/>
    <mergeCell ref="A10:E10"/>
    <mergeCell ref="A24:J24"/>
    <mergeCell ref="A75:D75"/>
    <mergeCell ref="A87:C87"/>
    <mergeCell ref="A101:G101"/>
    <mergeCell ref="A132:D132"/>
  </mergeCells>
  <conditionalFormatting sqref="A43:H43">
    <cfRule type="expression" dxfId="4" priority="1">
      <formula>MOD(ROW(),2)=0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16.57"/>
    <col customWidth="1" min="21" max="26" width="8.71"/>
  </cols>
  <sheetData>
    <row r="1" ht="17.25" customHeight="1">
      <c r="A1" s="141" t="s">
        <v>182</v>
      </c>
      <c r="T1" s="142" t="s">
        <v>183</v>
      </c>
    </row>
    <row r="2" ht="15.0" customHeight="1">
      <c r="A2" s="143" t="s">
        <v>184</v>
      </c>
      <c r="T2" s="2" t="s">
        <v>185</v>
      </c>
      <c r="U2" s="2" t="s">
        <v>186</v>
      </c>
      <c r="V2" s="2" t="s">
        <v>90</v>
      </c>
    </row>
    <row r="3" ht="15.0" customHeight="1">
      <c r="T3" s="2" t="s">
        <v>187</v>
      </c>
      <c r="U3" s="2">
        <v>12.0</v>
      </c>
      <c r="V3" s="144">
        <v>105854.0</v>
      </c>
    </row>
    <row r="4" ht="15.0" customHeight="1">
      <c r="T4" s="2" t="s">
        <v>188</v>
      </c>
      <c r="U4" s="2">
        <v>9.0</v>
      </c>
      <c r="V4" s="144">
        <v>31044.0</v>
      </c>
    </row>
    <row r="5" ht="15.0" customHeight="1">
      <c r="T5" s="2" t="s">
        <v>189</v>
      </c>
      <c r="U5" s="2">
        <v>26.0</v>
      </c>
      <c r="V5" s="144">
        <v>16079.0</v>
      </c>
    </row>
    <row r="8" ht="15.0" customHeight="1">
      <c r="T8" s="142" t="s">
        <v>190</v>
      </c>
    </row>
    <row r="9" ht="15.0" customHeight="1">
      <c r="T9" s="2" t="s">
        <v>191</v>
      </c>
      <c r="U9" s="2" t="s">
        <v>75</v>
      </c>
    </row>
    <row r="10" ht="15.0" customHeight="1">
      <c r="T10" s="2" t="s">
        <v>27</v>
      </c>
      <c r="U10" s="2">
        <v>174.0</v>
      </c>
    </row>
    <row r="11" ht="15.0" customHeight="1">
      <c r="T11" s="2" t="s">
        <v>26</v>
      </c>
      <c r="U11" s="2">
        <v>165.0</v>
      </c>
    </row>
    <row r="12" ht="15.0" customHeight="1">
      <c r="T12" s="2" t="s">
        <v>63</v>
      </c>
      <c r="U12" s="2">
        <v>157.0</v>
      </c>
    </row>
    <row r="13" ht="15.0" customHeight="1">
      <c r="T13" s="2" t="s">
        <v>192</v>
      </c>
      <c r="U13" s="2">
        <v>140.0</v>
      </c>
    </row>
    <row r="14" ht="15.0" customHeight="1">
      <c r="T14" s="2" t="s">
        <v>11</v>
      </c>
      <c r="U14" s="2">
        <v>130.0</v>
      </c>
    </row>
    <row r="15" ht="15.0" customHeight="1">
      <c r="T15" s="2" t="s">
        <v>8</v>
      </c>
      <c r="U15" s="2">
        <v>126.0</v>
      </c>
    </row>
    <row r="16" ht="15.0" customHeight="1">
      <c r="T16" s="2" t="s">
        <v>6</v>
      </c>
      <c r="U16" s="2">
        <v>97.0</v>
      </c>
    </row>
    <row r="17" ht="15.0" customHeight="1">
      <c r="T17" s="2" t="s">
        <v>29</v>
      </c>
      <c r="U17" s="2">
        <v>82.0</v>
      </c>
    </row>
    <row r="18" ht="15.0" customHeight="1">
      <c r="T18" s="2" t="s">
        <v>46</v>
      </c>
      <c r="U18" s="2">
        <v>59.0</v>
      </c>
    </row>
    <row r="19" ht="15.0" customHeight="1">
      <c r="T19" s="2" t="s">
        <v>16</v>
      </c>
      <c r="U19" s="2">
        <v>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D27" s="14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2026-05-03T12:47:31Z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